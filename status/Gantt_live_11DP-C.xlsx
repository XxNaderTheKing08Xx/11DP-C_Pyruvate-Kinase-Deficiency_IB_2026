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Project Status" sheetId="2" state="visible" r:id="rId4"/>
    <sheet name="Tasks" sheetId="3" state="visible" r:id="rId5"/>
    <sheet name="Members" sheetId="4" state="visible" r:id="rId6"/>
    <sheet name="Milestones" sheetId="5" state="visible" r:id="rId7"/>
    <sheet name="Risks" sheetId="6" state="visible" r:id="rId8"/>
    <sheet name="Holidays" sheetId="7" state="visible" r:id="rId9"/>
  </sheets>
  <definedNames>
    <definedName function="false" hidden="false" localSheetId="1" name="_xlnm.Print_Titles" vbProcedure="false">'Project Status'!$4:$4</definedName>
    <definedName function="false" hidden="true" localSheetId="1" name="_xlnm._FilterDatabase" vbProcedure="false">'Project Status'!$A$4:$H$62</definedName>
    <definedName function="false" hidden="false" localSheetId="2" name="_xlnm.Print_Area" vbProcedure="false">Tasks!$A$1:$AW$65</definedName>
    <definedName function="false" hidden="false" localSheetId="2" name="_xlnm.Print_Titles" vbProcedure="false">Tasks!$3:$4</definedName>
    <definedName function="false" hidden="true" localSheetId="2" name="_xlnm._FilterDatabase" vbProcedure="false">Tasks!$A$4:$M$62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Calendar span of the task in working days (bar length).</t>
        </r>
      </text>
    </comment>
    <comment ref="F4" authorId="0">
      <text>
        <r>
          <rPr>
            <sz val="10"/>
            <rFont val="Arial"/>
            <family val="2"/>
          </rPr>
          <t xml:space="preserve">Working days of effort. Equals the duration, except 1.7 (two weekly meetings).</t>
        </r>
      </text>
    </comment>
    <comment ref="M4" authorId="0">
      <text>
        <r>
          <rPr>
            <sz val="10"/>
            <rFont val="Arial"/>
            <family val="2"/>
          </rPr>
          <t xml:space="preserve">Working days between planned and real end; negative = finished early.</t>
        </r>
      </text>
    </comment>
    <comment ref="N65" authorId="0">
      <text>
        <r>
          <rPr>
            <sz val="10"/>
            <rFont val="Arial"/>
            <family val="2"/>
          </rPr>
          <t xml:space="preserve">Project presentation and access to GitHub</t>
        </r>
      </text>
    </comment>
    <comment ref="P65" authorId="0">
      <text>
        <r>
          <rPr>
            <sz val="10"/>
            <rFont val="Arial"/>
            <family val="2"/>
          </rPr>
          <t xml:space="preserve">Paper structure, sources and references</t>
        </r>
      </text>
    </comment>
    <comment ref="U65" authorId="0">
      <text>
        <r>
          <rPr>
            <sz val="10"/>
            <rFont val="Arial"/>
            <family val="2"/>
          </rPr>
          <t xml:space="preserve">Structural biology</t>
        </r>
      </text>
    </comment>
    <comment ref="X65" authorId="0">
      <text>
        <r>
          <rPr>
            <sz val="10"/>
            <rFont val="Arial"/>
            <family val="2"/>
          </rPr>
          <t xml:space="preserve">PDB lab</t>
        </r>
      </text>
    </comment>
    <comment ref="Z65" authorId="0">
      <text>
        <r>
          <rPr>
            <sz val="10"/>
            <rFont val="Arial"/>
            <family val="2"/>
          </rPr>
          <t xml:space="preserve">Genomics</t>
        </r>
      </text>
    </comment>
    <comment ref="AC65" authorId="0">
      <text>
        <r>
          <rPr>
            <sz val="10"/>
            <rFont val="Arial"/>
            <family val="2"/>
          </rPr>
          <t xml:space="preserve">Sequence alignment lab 1</t>
        </r>
      </text>
    </comment>
    <comment ref="AH65" authorId="0">
      <text>
        <r>
          <rPr>
            <sz val="10"/>
            <rFont val="Arial"/>
            <family val="2"/>
          </rPr>
          <t xml:space="preserve">Sequence alignment lab 2</t>
        </r>
      </text>
    </comment>
    <comment ref="AJ65" authorId="0">
      <text>
        <r>
          <rPr>
            <sz val="10"/>
            <rFont val="Arial"/>
            <family val="2"/>
          </rPr>
          <t xml:space="preserve">Integrated bioinformatics reasoning</t>
        </r>
      </text>
    </comment>
    <comment ref="AM65" authorId="0">
      <text>
        <r>
          <rPr>
            <sz val="10"/>
            <rFont val="Arial"/>
            <family val="2"/>
          </rPr>
          <t xml:space="preserve">Structure superposition lab</t>
        </r>
      </text>
    </comment>
    <comment ref="AO65" authorId="0">
      <text>
        <r>
          <rPr>
            <sz val="10"/>
            <rFont val="Arial"/>
            <family val="2"/>
          </rPr>
          <t xml:space="preserve">Project retrospective (online, optional)</t>
        </r>
      </text>
    </comment>
    <comment ref="AW65" authorId="0">
      <text>
        <r>
          <rPr>
            <sz val="10"/>
            <rFont val="Arial"/>
            <family val="2"/>
          </rPr>
          <t xml:space="preserve">Project defence</t>
        </r>
      </text>
    </comment>
  </commentList>
</comments>
</file>

<file path=xl/sharedStrings.xml><?xml version="1.0" encoding="utf-8"?>
<sst xmlns="http://schemas.openxmlformats.org/spreadsheetml/2006/main" count="758" uniqueCount="449">
  <si>
    <t xml:space="preserve">11DP-C · Live Gantt chart and Project Status</t>
  </si>
  <si>
    <t xml:space="preserve">Generated on 8 October 2026 from the plan submitted on 9 October (baseline). From then on, update it by hand.</t>
  </si>
  <si>
    <t xml:space="preserve">What to edit</t>
  </si>
  <si>
    <t xml:space="preserve">Only the yellow cells. Each owner updates their own rows in the Project Status sheet: Real Start, Real Finish, Status, Notes;</t>
  </si>
  <si>
    <t xml:space="preserve">the Tasks sheet (Gantt chart), the delays, and the Members totals update from it automatically. Also: Real date and Status (Milestones);</t>
  </si>
  <si>
    <t xml:space="preserve">Likelihood, Impact, Status, Last review, Notes (Risks). Planned dates are the 9 October baseline and must not be changed.</t>
  </si>
  <si>
    <t xml:space="preserve">Example: when Leo starts task 2.1 on Tue 13 Oct, he writes 13/10/2026 in Real Start (Project Status) and sets Status to 'In progress';</t>
  </si>
  <si>
    <t xml:space="preserve">when he finishes, he writes the Real end and sets 'Completed'. Delay is computed automatically (negative = early).</t>
  </si>
  <si>
    <t xml:space="preserve">Status values (Formal Requirements, Project Status Document): Backlog, Pending, In progress, Completed, Incident, Canceled.</t>
  </si>
  <si>
    <t xml:space="preserve">How to read the chart (Tasks sheet)</t>
  </si>
  <si>
    <t xml:space="preserve">Bar fill = phase of the planned task: grey Phase 0 (completed), blue WP1, teal WP2, amber WP3, purple WP4.</t>
  </si>
  <si>
    <t xml:space="preserve">Line under the bar = owner: red Aarón, lime Bruno, black Ettore, magenta Leo, azure Pol, grey all members.</t>
  </si>
  <si>
    <t xml:space="preserve">● = real execution, drawn from Real start to Real end (or to today while the task is open). Red header cell = today. Shaded columns = holidays.</t>
  </si>
  <si>
    <t xml:space="preserve">Adding a task</t>
  </si>
  <si>
    <t xml:space="preserve">Insert a row inside its phase, copy a neighbouring task row (formulas and formats follow), and fill ID, Task, Owner, Duration, Effort, Predecessors, Planned start.</t>
  </si>
  <si>
    <t xml:space="preserve">A task added after 9 October is new scope: write 'Added on &lt;date&gt;' in Notes so the final retrospective can explain it.</t>
  </si>
  <si>
    <t xml:space="preserve">Sheets</t>
  </si>
  <si>
    <t xml:space="preserve">Project Status: the live status document (Formal Requirements III), where real dates, status, and notes are entered · Tasks: Gantt grid, planned vs real · Members: tasks and effort per member · Milestones · Risks · Holidays.</t>
  </si>
  <si>
    <t xml:space="preserve">Class sessions (bottom of the Tasks grid): Pres = Project presentation and access to GitHub · Ref = Paper structure, sources and references · SB = Structural biology · PDB = PDB lab · Gen = Genomics · SA1 = Sequence alignment lab 1 · SA2 = Sequence alignment lab 2 · IBR = Integrated bioinformatics reasoning · SSP = Structure superposition lab · Ret = Project retrospective (online, optional) · Def = Project defence.</t>
  </si>
  <si>
    <t xml:space="preserve">Yellow = cell to edit</t>
  </si>
  <si>
    <t xml:space="preserve">Project Status · Group 11DP-C · Pyruvate Kinase Deficiency</t>
  </si>
  <si>
    <t xml:space="preserve">Task tracking — Updated up to</t>
  </si>
  <si>
    <t xml:space="preserve">Edit only the yellow cells of your own tasks: Real Start, Real Finish, Status, Notes. Planned dates come from the 9 October baseline.</t>
  </si>
  <si>
    <t xml:space="preserve">Task</t>
  </si>
  <si>
    <t xml:space="preserve">Resp.</t>
  </si>
  <si>
    <t xml:space="preserve">Plan. Start Date</t>
  </si>
  <si>
    <t xml:space="preserve">Plan. Finish Date</t>
  </si>
  <si>
    <t xml:space="preserve">Real Start Date</t>
  </si>
  <si>
    <t xml:space="preserve">Real Finish Date</t>
  </si>
  <si>
    <t xml:space="preserve">Status</t>
  </si>
  <si>
    <t xml:space="preserve">Notes</t>
  </si>
  <si>
    <t xml:space="preserve">Phase 0 · Project start-up (completed)</t>
  </si>
  <si>
    <t xml:space="preserve">0.1 Create the GitHub repository and write the README</t>
  </si>
  <si>
    <t xml:space="preserve">Leo</t>
  </si>
  <si>
    <t xml:space="preserve">Completed</t>
  </si>
  <si>
    <t xml:space="preserve">Evidence: Commits of 17 Sep.</t>
  </si>
  <si>
    <t xml:space="preserve">0.2 Create the report file and the folder structure</t>
  </si>
  <si>
    <t xml:space="preserve">Ettore</t>
  </si>
  <si>
    <t xml:space="preserve">0.3 Study the course instructions and the disease</t>
  </si>
  <si>
    <t xml:space="preserve">All</t>
  </si>
  <si>
    <t xml:space="preserve">Evidence: Reported by the team.</t>
  </si>
  <si>
    <t xml:space="preserve">0.4 Team meeting 1 (after class)</t>
  </si>
  <si>
    <t xml:space="preserve">0.5 Format the report file</t>
  </si>
  <si>
    <t xml:space="preserve">Aarón</t>
  </si>
  <si>
    <t xml:space="preserve">Evidence: Commit of 28 Sep.</t>
  </si>
  <si>
    <t xml:space="preserve">0.6 Team meeting 2 (after class)</t>
  </si>
  <si>
    <t xml:space="preserve">0.7 Team meeting 3 (after class)</t>
  </si>
  <si>
    <t xml:space="preserve">0.8 Draft the project plan (introduction, objectives, Gantt chart, risks)</t>
  </si>
  <si>
    <t xml:space="preserve">Evidence: Draft files.</t>
  </si>
  <si>
    <t xml:space="preserve">0.9 Team meeting 4 (after class): review of the draft plan; decision to submit it through GitHub rather than as a PDF</t>
  </si>
  <si>
    <t xml:space="preserve">WP1 · Project management and GitHub</t>
  </si>
  <si>
    <t xml:space="preserve">1.1 Review and commit the introduction (PKD_1); create the folders report/, status/, gantt/, and references/</t>
  </si>
  <si>
    <t xml:space="preserve">Introduction committed by Ettore on 9 Oct; the folders gantt/, status/, references/, and report/ were created by Leo and Bruno on 8 Oct.</t>
  </si>
  <si>
    <t xml:space="preserve">1.2 Review and commit the overview and team section (PKD_2); submit the repository URL on Moodle</t>
  </si>
  <si>
    <t xml:space="preserve">PKD_2 committed by Aarón on 8 Oct; repository URL submitted on Moodle by Ettore on 9 Oct.</t>
  </si>
  <si>
    <t xml:space="preserve">1.3 Review and commit the Gantt chart (PKD_3)</t>
  </si>
  <si>
    <t xml:space="preserve">Bruno</t>
  </si>
  <si>
    <t xml:space="preserve">Committed by Leo on 8 Oct and edited by Pol; owner after the role swap: Bruno.</t>
  </si>
  <si>
    <t xml:space="preserve">1.4 Review and commit the task details (PKD_4)</t>
  </si>
  <si>
    <t xml:space="preserve">Pol</t>
  </si>
  <si>
    <t xml:space="preserve">Committed by Pol on 8 Oct; owner columns corrected for the role swap.</t>
  </si>
  <si>
    <t xml:space="preserve">1.5 Review and commit the risk analysis and references (PKD_5, PKD_6)</t>
  </si>
  <si>
    <t xml:space="preserve">Committed by Bruno (PKD_6 on 8 Oct, PKD_5 on 9 Oct), references updated by Ettore on 9 Oct; owner after the role swap: Leo.</t>
  </si>
  <si>
    <t xml:space="preserve">1.6 Create the Project Status document</t>
  </si>
  <si>
    <t xml:space="preserve">Created by Ettore on 9 Oct (status/Project_Status_2026_10_09.md).</t>
  </si>
  <si>
    <t xml:space="preserve">1.7 Weekly status update and team meeting (Fridays 16 and 23 Oct)</t>
  </si>
  <si>
    <t xml:space="preserve">Meetings of 16 and 23 Oct held.</t>
  </si>
  <si>
    <t xml:space="preserve">1.8 Prepare the Project Status document for the 22 Oct discussion</t>
  </si>
  <si>
    <t xml:space="preserve">Project Status of 20 Oct, discussed in class on 22 Oct.</t>
  </si>
  <si>
    <t xml:space="preserve">1.9 Produce the final Gantt chart with real dates (live version)</t>
  </si>
  <si>
    <t xml:space="preserve">Final Gantt chart and Project Status of 26 Oct (gantt/ and status/).</t>
  </si>
  <si>
    <t xml:space="preserve">WP2 · Data sources, literature, and sequences</t>
  </si>
  <si>
    <t xml:space="preserve">2.1 Characterize the supplied sequences: translate both CDSs, compare wild type and mutant, and name the variant in HGVS nomenclature</t>
  </si>
  <si>
    <t xml:space="preserve">Both CDSs translated; one difference, c.1456C&gt;T, p.(Arg486Trp).</t>
  </si>
  <si>
    <t xml:space="preserve">2.2 Identify the gene, the isoform, and the reference entries (HGNC, NCBI Gene, UniProt)</t>
  </si>
  <si>
    <t xml:space="preserve">Reference records in analysis/sequence/raw/.</t>
  </si>
  <si>
    <t xml:space="preserve">2.3 Collect clinical and population evidence on the variant (ClinVar, gnomAD, OMIM, literature)</t>
  </si>
  <si>
    <t xml:space="preserve">ClinVar and gnomAD evidence; Table 1.</t>
  </si>
  <si>
    <t xml:space="preserve">2.4 Review the literature on PK and PKD: normal function, mechanism, inheritance, and clinical features</t>
  </si>
  <si>
    <t xml:space="preserve">Sources of the Background checked; cited articles saved in references/articles/ by Aarón.</t>
  </si>
  <si>
    <t xml:space="preserve">2.5 Retrieve the reviewed orthologous sequences: rat, mouse, and dog (outgroup)</t>
  </si>
  <si>
    <t xml:space="preserve">Rat, mouse, and dog PKLR and the vertebrate panel.</t>
  </si>
  <si>
    <t xml:space="preserve">2.6 Select the experimental structures: wild-type and mutant human R-type PK; rat PK</t>
  </si>
  <si>
    <t xml:space="preserve">Wild-type PDB 2VGB and mutant PDB 2VGI; no rat structure used (see 3.5).</t>
  </si>
  <si>
    <t xml:space="preserve">2.7 Archive the sources in references/ and maintain the reference list</t>
  </si>
  <si>
    <t xml:space="preserve">Reference list completed; database records in references/databases/.</t>
  </si>
  <si>
    <t xml:space="preserve">2.8 Verify the sequence characterization independently: repeat the translation and the comparison of the four files</t>
  </si>
  <si>
    <t xml:space="preserve">Translation, variant, and identities recomputed by independent methods: all agree.</t>
  </si>
  <si>
    <t xml:space="preserve">WP3 · Sequence and structure analysis</t>
  </si>
  <si>
    <t xml:space="preserve">3.1 Pairwise alignments of human PK with the rat and mouse orthologs (protein and CDS)</t>
  </si>
  <si>
    <t xml:space="preserve">Human PKLR vs rat, mouse, and dog: protein identity 91.1%, 91.6%, 92.5%.</t>
  </si>
  <si>
    <t xml:space="preserve">3.2 Multiple sequence alignment of human, rat, mouse, and dog PK; conservation of the substituted position and lineage of each difference</t>
  </si>
  <si>
    <t xml:space="preserve">Multiple alignments; residue 486 by species; Figure 1, Table 2.</t>
  </si>
  <si>
    <t xml:space="preserve">3.3 Map the substituted residue on the wild-type structure: distances to the active site, the allosteric site, and the domain and subunit interfaces</t>
  </si>
  <si>
    <t xml:space="preserve">Arg486 in the C domain; distances to the FBP and active sites.</t>
  </si>
  <si>
    <t xml:space="preserve">3.4 Superpose the wild-type and mutant structures (repeated in the 22 Oct lab)</t>
  </si>
  <si>
    <t xml:space="preserve">Wild-type and R486W structures superposed.</t>
  </si>
  <si>
    <t xml:space="preserve">3.5 Compare the human R-type and rat L-type structures around the substituted position</t>
  </si>
  <si>
    <t xml:space="preserve">Canceled</t>
  </si>
  <si>
    <t xml:space="preserve">Not done: no functional data exist on the rat enzyme at this position or on Gln at 486 in humans, so a structural comparison could not be interpreted in terms of function.</t>
  </si>
  <si>
    <t xml:space="preserve">3.6 Assess pathogenicity: combine clinical, population, conservation, structural, and biochemical evidence</t>
  </si>
  <si>
    <t xml:space="preserve">Done in the Results and Discussion of the report (Discussion written by Ettore).</t>
  </si>
  <si>
    <t xml:space="preserve">3.7 Explain the impact on the patient: from enzyme activity to red-cell ATP, haemolysis, and clinical severity</t>
  </si>
  <si>
    <t xml:space="preserve">Done in the Discussion of the report (written by Ettore).</t>
  </si>
  <si>
    <t xml:space="preserve">3.8 Team synthesis meeting: from variant to patient</t>
  </si>
  <si>
    <t xml:space="preserve">Synthesis meeting held on 25 Oct.</t>
  </si>
  <si>
    <t xml:space="preserve">3.9 Verify the alignments independently: repeat the multiple sequence alignment and check the residue at the substituted position in every species</t>
  </si>
  <si>
    <t xml:space="preserve">Residue 486 checked across vertebrate PKLR orthologues.</t>
  </si>
  <si>
    <t xml:space="preserve">3.10 Re-run all analyses with the course tools (BLAST, Clustal Omega, PyMOL) to confirm the data and to practise every phase</t>
  </si>
  <si>
    <t xml:space="preserve">Added on 25 Oct: all analyses re-run by every member to confirm the data and to practise every phase of the project.</t>
  </si>
  <si>
    <t xml:space="preserve">3.11 Revise the Lab 1 notebook with the PKLR records of rat and mouse</t>
  </si>
  <si>
    <t xml:space="preserve">Added on 26 Oct: lab/Lab_1_.md rewritten with rat XM_006232593.6 / P12928 and mouse NM_013631.2 / P53657, replacing the PKM screenshots.</t>
  </si>
  <si>
    <t xml:space="preserve">WP4 · Report, delivery, and defence</t>
  </si>
  <si>
    <t xml:space="preserve">4.1 Write the Background</t>
  </si>
  <si>
    <t xml:space="preserve">report/sections/report_background.md.</t>
  </si>
  <si>
    <t xml:space="preserve">4.2 Write the Methods</t>
  </si>
  <si>
    <t xml:space="preserve">report/sections/report_methods.md and report_references.md.</t>
  </si>
  <si>
    <t xml:space="preserve">4.3 Write the Results on sequences and species comparison</t>
  </si>
  <si>
    <t xml:space="preserve">Results on the variant (report_results_cause.md) and on the species comparison (report_results_species.md).</t>
  </si>
  <si>
    <t xml:space="preserve">4.4 Write the Results on structures; prepare the figures</t>
  </si>
  <si>
    <t xml:space="preserve">report/sections/report_results_structure.md; Figures 1 and 2.</t>
  </si>
  <si>
    <t xml:space="preserve">4.5 Write the Discussion and Conclusions</t>
  </si>
  <si>
    <t xml:space="preserve">report/sections/report_discussion.md and report_conclusions.md.</t>
  </si>
  <si>
    <t xml:space="preserve">4.6 Write the Abstract and assemble the report</t>
  </si>
  <si>
    <t xml:space="preserve">Abstract, Abbreviations, and Declarations written by Aarón; report assembled and committed by Ettore (report/report.md).</t>
  </si>
  <si>
    <t xml:space="preserve">4.7 Coordinate the full read-through and corrections</t>
  </si>
  <si>
    <t xml:space="preserve">Read-through by all members.</t>
  </si>
  <si>
    <t xml:space="preserve">4.8 Check the format limits and the references</t>
  </si>
  <si>
    <t xml:space="preserve">Format limits and references checked by all members.</t>
  </si>
  <si>
    <t xml:space="preserve">4.9 Deliver the final report on GitHub</t>
  </si>
  <si>
    <t xml:space="preserve">README with the link to the final report committed by Aarón; repository URL submitted on Moodle by Ettore.</t>
  </si>
  <si>
    <t xml:space="preserve">4.10 Prepare the defence slides on the background and the impact on the patient</t>
  </si>
  <si>
    <t xml:space="preserve">Pending</t>
  </si>
  <si>
    <t xml:space="preserve">4.11 Prepare the defence slides on the data sources and methods</t>
  </si>
  <si>
    <t xml:space="preserve">4.12 Prepare the defence slides on the discussion and conclusions</t>
  </si>
  <si>
    <t xml:space="preserve">4.13 Prepare the defence slides on the sequence and species-comparison results</t>
  </si>
  <si>
    <t xml:space="preserve">4.14 Prepare the defence slides on the structural results</t>
  </si>
  <si>
    <t xml:space="preserve">4.15 Assemble the defence presentation: unify the format and confirm who presents each part</t>
  </si>
  <si>
    <t xml:space="preserve">4.16 Coordinate the defence rehearsal, with cross-questioning between members</t>
  </si>
  <si>
    <t xml:space="preserve">Legend</t>
  </si>
  <si>
    <t xml:space="preserve">Will not be done; explain why in Notes</t>
  </si>
  <si>
    <t xml:space="preserve">Finished; Real Finish Date filled</t>
  </si>
  <si>
    <t xml:space="preserve">Incident</t>
  </si>
  <si>
    <t xml:space="preserve">A problem occurred; describe it and the workaround in Notes</t>
  </si>
  <si>
    <t xml:space="preserve">In progress</t>
  </si>
  <si>
    <t xml:space="preserve">Started; Real Start Date filled</t>
  </si>
  <si>
    <t xml:space="preserve">Backlog</t>
  </si>
  <si>
    <t xml:space="preserve">Contingency task, done only if needed</t>
  </si>
  <si>
    <t xml:space="preserve">Planned, not started</t>
  </si>
  <si>
    <t xml:space="preserve">Red real date = later than planned. Red planned finish = past the update date while the task is still open.</t>
  </si>
  <si>
    <t xml:space="preserve">11DP-C · Pyruvate Kinase Deficiency: from a PKLR variant to haemolytic anaemia · live Gantt chart and Project Status</t>
  </si>
  <si>
    <t xml:space="preserve">Planned dates = baseline of 9 October 2026. Real dates and status are read from the Project Status sheet: edit them there, not here. Bar fill = phase (planned); line under the bar = owner; ● = real execution.</t>
  </si>
  <si>
    <t xml:space="preserve">ID</t>
  </si>
  <si>
    <t xml:space="preserve">Phase</t>
  </si>
  <si>
    <t xml:space="preserve">Owner</t>
  </si>
  <si>
    <t xml:space="preserve">Duration (working days)</t>
  </si>
  <si>
    <t xml:space="preserve">Effort (days)</t>
  </si>
  <si>
    <t xml:space="preserve">Predecessors</t>
  </si>
  <si>
    <t xml:space="preserve">Planned start</t>
  </si>
  <si>
    <t xml:space="preserve">Planned end</t>
  </si>
  <si>
    <t xml:space="preserve">Real start</t>
  </si>
  <si>
    <t xml:space="preserve">Real end</t>
  </si>
  <si>
    <t xml:space="preserve">Delay (working days)</t>
  </si>
  <si>
    <t xml:space="preserve">Output and completion criterion (baseline)</t>
  </si>
  <si>
    <t xml:space="preserve">P0</t>
  </si>
  <si>
    <t xml:space="preserve">0.1</t>
  </si>
  <si>
    <t xml:space="preserve">Create the GitHub repository and write the README</t>
  </si>
  <si>
    <t xml:space="preserve">Output: Repository 11DP-C_Pyruvate-Kinase-Deficiency_IB_2026. Evidence: Commits of 17 Sep.</t>
  </si>
  <si>
    <t xml:space="preserve">0.2</t>
  </si>
  <si>
    <t xml:space="preserve">Create the report file and the folder structure</t>
  </si>
  <si>
    <t xml:space="preserve">Output: `report.md`, `figures/`. Evidence: Commits of 17 Sep.</t>
  </si>
  <si>
    <t xml:space="preserve">0.3</t>
  </si>
  <si>
    <t xml:space="preserve">Study the course instructions and the disease</t>
  </si>
  <si>
    <t xml:space="preserve">Output: Shared understanding of the task. Evidence: Reported by the team.</t>
  </si>
  <si>
    <t xml:space="preserve">0.4</t>
  </si>
  <si>
    <t xml:space="preserve">Team meeting 1 (after class)</t>
  </si>
  <si>
    <t xml:space="preserve">Output: Organization of the work. Evidence: Reported by the team.</t>
  </si>
  <si>
    <t xml:space="preserve">0.5</t>
  </si>
  <si>
    <t xml:space="preserve">Format the report file</t>
  </si>
  <si>
    <t xml:space="preserve">Output: Formatted `report.md`. Evidence: Commit of 28 Sep.</t>
  </si>
  <si>
    <t xml:space="preserve">0.6</t>
  </si>
  <si>
    <t xml:space="preserve">Team meeting 2 (after class)</t>
  </si>
  <si>
    <t xml:space="preserve">0.7</t>
  </si>
  <si>
    <t xml:space="preserve">Team meeting 3 (after class)</t>
  </si>
  <si>
    <t xml:space="preserve">0.8</t>
  </si>
  <si>
    <t xml:space="preserve">Draft the project plan (introduction, objectives, Gantt chart, risks)</t>
  </si>
  <si>
    <t xml:space="preserve">Output: Draft plan, sections PKD_1 to PKD_6. Evidence: Draft files.</t>
  </si>
  <si>
    <t xml:space="preserve">0.9</t>
  </si>
  <si>
    <t xml:space="preserve">Team meeting 4 (after class): review of the draft plan; decision to submit it through GitHub rather than as a PDF</t>
  </si>
  <si>
    <t xml:space="preserve">Output: Agreed plan and submission format. Evidence: Reported by the team.</t>
  </si>
  <si>
    <t xml:space="preserve">WP1</t>
  </si>
  <si>
    <t xml:space="preserve">1.1</t>
  </si>
  <si>
    <t xml:space="preserve">Review and commit the introduction (PKD_1); create the folders report/, status/, gantt/, and references/</t>
  </si>
  <si>
    <t xml:space="preserve">Output: Introduction and required folders in the repository. Accomplished when: The four required folders exist and the introduction is committed by its reviewer.</t>
  </si>
  <si>
    <t xml:space="preserve">1.2</t>
  </si>
  <si>
    <t xml:space="preserve">Review and commit the overview and team section (PKD_2); submit the repository URL on Moodle</t>
  </si>
  <si>
    <t xml:space="preserve">Output: PKD_2 committed; URL submitted. Accomplished when: The URL is submitted on Moodle by 9 Oct.</t>
  </si>
  <si>
    <t xml:space="preserve">1.3</t>
  </si>
  <si>
    <t xml:space="preserve">Review and commit the Gantt chart (PKD_3)</t>
  </si>
  <si>
    <t xml:space="preserve">Output: PKD_3 committed. Accomplished when: The chart renders on GitHub and its dates match PKD_4.</t>
  </si>
  <si>
    <t xml:space="preserve">1.4</t>
  </si>
  <si>
    <t xml:space="preserve">Review and commit the task details (PKD_4)</t>
  </si>
  <si>
    <t xml:space="preserve">Output: PKD_4 committed. Accomplished when: Every task has an owner, output, duration, predecessor, and completion criterion.</t>
  </si>
  <si>
    <t xml:space="preserve">1.5</t>
  </si>
  <si>
    <t xml:space="preserve">Review and commit the risk analysis and references (PKD_5, PKD_6)</t>
  </si>
  <si>
    <t xml:space="preserve">Output: PKD_5 and PKD_6 committed. Accomplished when: Each risk has a score and a contingency plan; every citation has a reference.</t>
  </si>
  <si>
    <t xml:space="preserve">1.6</t>
  </si>
  <si>
    <t xml:space="preserve">Create the Project Status document</t>
  </si>
  <si>
    <t xml:space="preserve">Output: `status/` document. Accomplished when: It lists every task with owner, planned dates, real dates, status, and notes.</t>
  </si>
  <si>
    <t xml:space="preserve">1.7</t>
  </si>
  <si>
    <t xml:space="preserve">Weekly status update and team meeting (Fridays 16 and 23 Oct)</t>
  </si>
  <si>
    <t xml:space="preserve">Output: Dated notes in `status/`. Accomplished when: After each meeting, real dates, status changes, and incidents are recorded.</t>
  </si>
  <si>
    <t xml:space="preserve">1.8</t>
  </si>
  <si>
    <t xml:space="preserve">Prepare the Project Status document for the 22 Oct discussion</t>
  </si>
  <si>
    <t xml:space="preserve">Output: Updated `status/` document. Accomplished when: Planned and real dates, status, and notes are current on 20 Oct.</t>
  </si>
  <si>
    <t xml:space="preserve">1.9</t>
  </si>
  <si>
    <t xml:space="preserve">Produce the final Gantt chart with real dates (live version)</t>
  </si>
  <si>
    <t xml:space="preserve">4.6</t>
  </si>
  <si>
    <t xml:space="preserve">Output: Final Gantt chart in `gantt/`. Accomplished when: Every task shows its real dates, and deviations are explained.</t>
  </si>
  <si>
    <t xml:space="preserve">WP2</t>
  </si>
  <si>
    <t xml:space="preserve">2.1</t>
  </si>
  <si>
    <t xml:space="preserve">Characterize the supplied sequences: translate both CDSs, compare wild type and mutant, and name the variant in HGVS nomenclature</t>
  </si>
  <si>
    <t xml:space="preserve">Output: Variant table (DNA and protein level). Accomplished when: Every difference is listed at DNA and protein level and verified by a second member (task 2.8).</t>
  </si>
  <si>
    <t xml:space="preserve">2.2</t>
  </si>
  <si>
    <t xml:space="preserve">Identify the gene, the isoform, and the reference entries (HGNC, NCBI Gene, UniProt)</t>
  </si>
  <si>
    <t xml:space="preserve">Output: Table of identifiers. Accomplished when: The gene symbol, isoform, and accession numbers are recorded with access dates.</t>
  </si>
  <si>
    <t xml:space="preserve">2.3</t>
  </si>
  <si>
    <t xml:space="preserve">Collect clinical and population evidence on the variant (ClinVar, gnomAD, OMIM, literature)</t>
  </si>
  <si>
    <t xml:space="preserve">2.1, 2.5</t>
  </si>
  <si>
    <t xml:space="preserve">Output: Evidence table with sources. Accomplished when: Classification, allele frequency, and published functional data are recorded with sources.</t>
  </si>
  <si>
    <t xml:space="preserve">2.4</t>
  </si>
  <si>
    <t xml:space="preserve">Review the literature on PK and PKD: normal function, mechanism, inheritance, and clinical features</t>
  </si>
  <si>
    <t xml:space="preserve">Output: Annotated literature notes. Accomplished when: Each statement planned for the Background has at least one primary or review source.</t>
  </si>
  <si>
    <t xml:space="preserve">2.5</t>
  </si>
  <si>
    <t xml:space="preserve">Retrieve the reviewed orthologous sequences: rat, mouse, and dog (outgroup)</t>
  </si>
  <si>
    <t xml:space="preserve">Output: FASTA files and accession list. Accomplished when: Every sequence is saved in the repository with its accession number.</t>
  </si>
  <si>
    <t xml:space="preserve">2.6</t>
  </si>
  <si>
    <t xml:space="preserve">Select the experimental structures: wild-type and mutant human R-type PK; rat PK</t>
  </si>
  <si>
    <t xml:space="preserve">Output: Table of PDB entries (method, resolution, construct). Accomplished when: One wild-type and one mutant entry are chosen, with the reasons recorded.</t>
  </si>
  <si>
    <t xml:space="preserve">2.7</t>
  </si>
  <si>
    <t xml:space="preserve">Archive the sources in references/ and maintain the reference list</t>
  </si>
  <si>
    <t xml:space="preserve">2.3, 2.4</t>
  </si>
  <si>
    <t xml:space="preserve">Output: PDFs and Mini Oxford reference list. Accomplished when: Every cited source is archived and listed in the required style.</t>
  </si>
  <si>
    <t xml:space="preserve">2.8</t>
  </si>
  <si>
    <t xml:space="preserve">Verify the sequence characterization independently: repeat the translation and the comparison of the four files</t>
  </si>
  <si>
    <t xml:space="preserve">Output: Verification note. Accomplished when: The variant table of task 2.1 is confirmed, or each discrepancy is resolved with its owner.</t>
  </si>
  <si>
    <t xml:space="preserve">WP3</t>
  </si>
  <si>
    <t xml:space="preserve">3.1</t>
  </si>
  <si>
    <t xml:space="preserve">Pairwise alignments of human PK with the rat and mouse orthologs (protein and CDS)</t>
  </si>
  <si>
    <t xml:space="preserve">Output: Alignments and identity table. Accomplished when: Percent identity and similarity are reported for each pair, with tool and parameters.</t>
  </si>
  <si>
    <t xml:space="preserve">3.2</t>
  </si>
  <si>
    <t xml:space="preserve">Multiple sequence alignment of human, rat, mouse, and dog PK; conservation of the substituted position and lineage of each difference</t>
  </si>
  <si>
    <t xml:space="preserve">Output: Alignment figure and conservation notes. Accomplished when: The residue at the substituted position is reported for every species, and the lineage of each change is stated.</t>
  </si>
  <si>
    <t xml:space="preserve">3.3</t>
  </si>
  <si>
    <t xml:space="preserve">Map the substituted residue on the wild-type structure: distances to the active site, the allosteric site, and the domain and subunit interfaces</t>
  </si>
  <si>
    <t xml:space="preserve">2.1, 2.6</t>
  </si>
  <si>
    <t xml:space="preserve">Output: Annotated structure figure and distance table. Accomplished when: Distances are measured in a stated structure and chain.</t>
  </si>
  <si>
    <t xml:space="preserve">3.4</t>
  </si>
  <si>
    <t xml:space="preserve">Superpose the wild-type and mutant structures (repeated in the 22 Oct lab)</t>
  </si>
  <si>
    <t xml:space="preserve">Output: Superposition figure and RMSD values. Accomplished when: Global and local differences are quantified with the method stated.</t>
  </si>
  <si>
    <t xml:space="preserve">3.5</t>
  </si>
  <si>
    <t xml:space="preserve">Compare the human R-type and rat L-type structures around the substituted position</t>
  </si>
  <si>
    <t xml:space="preserve">3.4, 3.2</t>
  </si>
  <si>
    <t xml:space="preserve">Output: Comparison figure and notes. Accomplished when: The local environment of the position is described in both species.</t>
  </si>
  <si>
    <t xml:space="preserve">3.6</t>
  </si>
  <si>
    <t xml:space="preserve">Assess pathogenicity: combine clinical, population, conservation, structural, and biochemical evidence</t>
  </si>
  <si>
    <t xml:space="preserve">2.3, 2.4, 3.1</t>
  </si>
  <si>
    <t xml:space="preserve">Output: Evidence summary table. Accomplished when: Each line of evidence is classified as measured result, hypothesis, or open question.</t>
  </si>
  <si>
    <t xml:space="preserve">3.7</t>
  </si>
  <si>
    <t xml:space="preserve">Explain the impact on the patient: from enzyme activity to red-cell ATP, haemolysis, and clinical severity</t>
  </si>
  <si>
    <t xml:space="preserve">Output: One-page causal summary. Accomplished when: Each step from variant to clinical picture is supported by a cited source or our own result.</t>
  </si>
  <si>
    <t xml:space="preserve">3.8</t>
  </si>
  <si>
    <t xml:space="preserve">Team synthesis meeting: from variant to patient</t>
  </si>
  <si>
    <t xml:space="preserve">3.5, 3.7, 3.9</t>
  </si>
  <si>
    <t xml:space="preserve">Output: Meeting notes. Accomplished when: Every member can explain the full chain from variant to patient.</t>
  </si>
  <si>
    <t xml:space="preserve">3.9</t>
  </si>
  <si>
    <t xml:space="preserve">Verify the alignments independently: repeat the multiple sequence alignment and check the residue at the substituted position in every species</t>
  </si>
  <si>
    <t xml:space="preserve">Output: Verification note. Accomplished when: The residues reported in task 3.2 are confirmed, or each discrepancy is resolved with its owner.</t>
  </si>
  <si>
    <t xml:space="preserve">3.10</t>
  </si>
  <si>
    <t xml:space="preserve">Re-run all analyses with the course tools (BLAST, Clustal Omega, PyMOL) to confirm the data and to practise every phase</t>
  </si>
  <si>
    <t xml:space="preserve">3.11</t>
  </si>
  <si>
    <t xml:space="preserve">Revise the Lab 1 notebook with the PKLR records of rat and mouse</t>
  </si>
  <si>
    <t xml:space="preserve">WP4</t>
  </si>
  <si>
    <t xml:space="preserve">4.1</t>
  </si>
  <si>
    <t xml:space="preserve">Write the Background</t>
  </si>
  <si>
    <t xml:space="preserve">Output: Background section in `report/`. Accomplished when: It states the problem and the question, with every claim cited.</t>
  </si>
  <si>
    <t xml:space="preserve">4.2</t>
  </si>
  <si>
    <t xml:space="preserve">Write the Methods</t>
  </si>
  <si>
    <t xml:space="preserve">2.7, 3.9</t>
  </si>
  <si>
    <t xml:space="preserve">Output: Methods section in `report/`. Accomplished when: Another student could reproduce every analysis from it.</t>
  </si>
  <si>
    <t xml:space="preserve">4.3</t>
  </si>
  <si>
    <t xml:space="preserve">Write the Results on sequences and species comparison</t>
  </si>
  <si>
    <t xml:space="preserve">Output: Results, part 1. Accomplished when: It reports what was measured, without interpretation, with numbered figures or tables.</t>
  </si>
  <si>
    <t xml:space="preserve">4.4</t>
  </si>
  <si>
    <t xml:space="preserve">Write the Results on structures; prepare the figures</t>
  </si>
  <si>
    <t xml:space="preserve">Output: Results, part 2; figures. Accomplished when: Figures are numbered, captioned, and stored in the repository.</t>
  </si>
  <si>
    <t xml:space="preserve">4.5</t>
  </si>
  <si>
    <t xml:space="preserve">Write the Discussion and Conclusions</t>
  </si>
  <si>
    <t xml:space="preserve">Output: Discussion and Conclusions. Accomplished when: They answer the project question and state the limitations.</t>
  </si>
  <si>
    <t xml:space="preserve">Write the Abstract and assemble the report</t>
  </si>
  <si>
    <t xml:space="preserve">4.1, 4.2, 4.3, 4.4, 4.5</t>
  </si>
  <si>
    <t xml:space="preserve">Output: Complete report. Accomplished when: All BMC sections are present; the Abstract has at most 350 words.</t>
  </si>
  <si>
    <t xml:space="preserve">4.7</t>
  </si>
  <si>
    <t xml:space="preserve">Coordinate the full read-through and corrections</t>
  </si>
  <si>
    <t xml:space="preserve">Output: Corrected report. Accomplished when: Every member has read the whole report and all comments are resolved.</t>
  </si>
  <si>
    <t xml:space="preserve">4.8</t>
  </si>
  <si>
    <t xml:space="preserve">Check the format limits and the references</t>
  </si>
  <si>
    <t xml:space="preserve">Output: Completed checklist. Accomplished when: At most 7 pages or 5 000 words and five figures or tables; references in Mini Oxford style.</t>
  </si>
  <si>
    <t xml:space="preserve">4.9</t>
  </si>
  <si>
    <t xml:space="preserve">Deliver the final report on GitHub</t>
  </si>
  <si>
    <t xml:space="preserve">4.7, 4.8, 1.9</t>
  </si>
  <si>
    <t xml:space="preserve">Output: Final repository. Accomplished when: All files are committed before the deadline.</t>
  </si>
  <si>
    <t xml:space="preserve">4.10</t>
  </si>
  <si>
    <t xml:space="preserve">Prepare the defence slides on the background and the impact on the patient</t>
  </si>
  <si>
    <t xml:space="preserve">Output: Slides, part 1. Accomplished when: The slides cover the Background and SO3, and their presenter is named.</t>
  </si>
  <si>
    <t xml:space="preserve">4.11</t>
  </si>
  <si>
    <t xml:space="preserve">Prepare the defence slides on the data sources and methods</t>
  </si>
  <si>
    <t xml:space="preserve">Output: Slides, part 2. Accomplished when: The slides cover the Methods, and their presenter is named.</t>
  </si>
  <si>
    <t xml:space="preserve">4.12</t>
  </si>
  <si>
    <t xml:space="preserve">Prepare the defence slides on the discussion and conclusions</t>
  </si>
  <si>
    <t xml:space="preserve">Output: Slides, part 3. Accomplished when: The slides answer the project question and state the limitations.</t>
  </si>
  <si>
    <t xml:space="preserve">4.13</t>
  </si>
  <si>
    <t xml:space="preserve">Prepare the defence slides on the sequence and species-comparison results</t>
  </si>
  <si>
    <t xml:space="preserve">Output: Slides, part 4. Accomplished when: The slides cover SO1 and SO4 results, and their presenter is named.</t>
  </si>
  <si>
    <t xml:space="preserve">4.14</t>
  </si>
  <si>
    <t xml:space="preserve">Prepare the defence slides on the structural results</t>
  </si>
  <si>
    <t xml:space="preserve">Output: Slides, part 5. Accomplished when: The slides cover SO2 results, and their presenter is named.</t>
  </si>
  <si>
    <t xml:space="preserve">4.15</t>
  </si>
  <si>
    <t xml:space="preserve">Assemble the defence presentation: unify the format and confirm who presents each part</t>
  </si>
  <si>
    <t xml:space="preserve">4.10, 4.11, 4.12, 4.13, 4.14</t>
  </si>
  <si>
    <t xml:space="preserve">Output: Complete presentation. Accomplished when: One presentation in a single format, with every member presenting a part.</t>
  </si>
  <si>
    <t xml:space="preserve">4.16</t>
  </si>
  <si>
    <t xml:space="preserve">Coordinate the defence rehearsal, with cross-questioning between members</t>
  </si>
  <si>
    <t xml:space="preserve">Output: Rehearsal and list of likely questions. Accomplished when: Every member can answer questions on every part of the project.</t>
  </si>
  <si>
    <t xml:space="preserve">Milestones</t>
  </si>
  <si>
    <t xml:space="preserve">◆
M0</t>
  </si>
  <si>
    <t xml:space="preserve">◆
M1</t>
  </si>
  <si>
    <t xml:space="preserve">◆
M2</t>
  </si>
  <si>
    <t xml:space="preserve">◆
M3</t>
  </si>
  <si>
    <t xml:space="preserve">◆
M4</t>
  </si>
  <si>
    <t xml:space="preserve">◆
M5</t>
  </si>
  <si>
    <t xml:space="preserve">◆
M6</t>
  </si>
  <si>
    <t xml:space="preserve">◆
M7</t>
  </si>
  <si>
    <t xml:space="preserve">Class sessions</t>
  </si>
  <si>
    <t xml:space="preserve">Pres</t>
  </si>
  <si>
    <t xml:space="preserve">Ref</t>
  </si>
  <si>
    <t xml:space="preserve">SB</t>
  </si>
  <si>
    <t xml:space="preserve">PDB</t>
  </si>
  <si>
    <t xml:space="preserve">Gen</t>
  </si>
  <si>
    <t xml:space="preserve">SA1</t>
  </si>
  <si>
    <t xml:space="preserve">SA2</t>
  </si>
  <si>
    <t xml:space="preserve">IBR</t>
  </si>
  <si>
    <t xml:space="preserve">SSP</t>
  </si>
  <si>
    <t xml:space="preserve">Ret</t>
  </si>
  <si>
    <t xml:space="preserve">Def</t>
  </si>
  <si>
    <t xml:space="preserve">Class sessions: Pres = Project presentation and access to GitHub · Ref = Paper structure, sources and references · SB = Structural biology · PDB = PDB lab · Gen = Genomics · SA1 = Sequence alignment lab 1 · SA2 = Sequence alignment lab 2 · IBR = Integrated bioinformatics reasoning · SSP = Structure superposition lab · Ret = Project retrospective (online, optional) · Def = Project defence</t>
  </si>
  <si>
    <t xml:space="preserve">helper: holiday flag (hidden)</t>
  </si>
  <si>
    <t xml:space="preserve">Members, roles, and distribution of the planned work (formulas read the Tasks sheet; Phase 0 excluded)</t>
  </si>
  <si>
    <t xml:space="preserve">Full name</t>
  </si>
  <si>
    <t xml:space="preserve">Role</t>
  </si>
  <si>
    <t xml:space="preserve">Tasks owned</t>
  </si>
  <si>
    <t xml:space="preserve">Effort (working days)</t>
  </si>
  <si>
    <t xml:space="preserve">Incidents</t>
  </si>
  <si>
    <t xml:space="preserve">GitHub username</t>
  </si>
  <si>
    <t xml:space="preserve">Aarón Godino Martínez</t>
  </si>
  <si>
    <t xml:space="preserve">Product Owner</t>
  </si>
  <si>
    <t xml:space="preserve">Idonthaveanyideafornames</t>
  </si>
  <si>
    <t xml:space="preserve">Bruno Carrasquilla</t>
  </si>
  <si>
    <t xml:space="preserve">Sequence Analyst</t>
  </si>
  <si>
    <t xml:space="preserve">BrunoCarrasquilla</t>
  </si>
  <si>
    <t xml:space="preserve">Ettore Colombo</t>
  </si>
  <si>
    <t xml:space="preserve">Project Manager</t>
  </si>
  <si>
    <t xml:space="preserve">AIHector</t>
  </si>
  <si>
    <t xml:space="preserve">Leo Nader Al Hourani</t>
  </si>
  <si>
    <t xml:space="preserve">Data and GitHub Manager</t>
  </si>
  <si>
    <t xml:space="preserve">XxNaderTheKing08Xx</t>
  </si>
  <si>
    <t xml:space="preserve">Pol Monllau</t>
  </si>
  <si>
    <t xml:space="preserve">Structure Analyst</t>
  </si>
  <si>
    <t xml:space="preserve">polmonllau</t>
  </si>
  <si>
    <t xml:space="preserve">Total</t>
  </si>
  <si>
    <t xml:space="preserve">Milestone</t>
  </si>
  <si>
    <t xml:space="preserve">Planned date</t>
  </si>
  <si>
    <t xml:space="preserve">Real date</t>
  </si>
  <si>
    <t xml:space="preserve">Source</t>
  </si>
  <si>
    <t xml:space="preserve">M0</t>
  </si>
  <si>
    <t xml:space="preserve">Project presented; repository created</t>
  </si>
  <si>
    <t xml:space="preserve">Overview; commits</t>
  </si>
  <si>
    <t xml:space="preserve">M1</t>
  </si>
  <si>
    <t xml:space="preserve">Project plan submitted</t>
  </si>
  <si>
    <t xml:space="preserve">Overview</t>
  </si>
  <si>
    <t xml:space="preserve">M2</t>
  </si>
  <si>
    <t xml:space="preserve">Data collected (variant, sequences, structures, literature)</t>
  </si>
  <si>
    <t xml:space="preserve">after 2.7</t>
  </si>
  <si>
    <t xml:space="preserve">M3</t>
  </si>
  <si>
    <t xml:space="preserve">Analyses completed</t>
  </si>
  <si>
    <t xml:space="preserve">after 3.8</t>
  </si>
  <si>
    <t xml:space="preserve">M4</t>
  </si>
  <si>
    <t xml:space="preserve">Project Status document discussed</t>
  </si>
  <si>
    <t xml:space="preserve">Overview; Formal Requirements</t>
  </si>
  <si>
    <t xml:space="preserve">M5</t>
  </si>
  <si>
    <t xml:space="preserve">Report draft complete</t>
  </si>
  <si>
    <t xml:space="preserve">after 4.6</t>
  </si>
  <si>
    <t xml:space="preserve">M6</t>
  </si>
  <si>
    <t xml:space="preserve">Final report delivered</t>
  </si>
  <si>
    <t xml:space="preserve">M7</t>
  </si>
  <si>
    <t xml:space="preserve">Oral defence (all members)</t>
  </si>
  <si>
    <t xml:space="preserve">Course schedule</t>
  </si>
  <si>
    <t xml:space="preserve">Risk register · Risk = Likelihood × Impact (1–3 each) · 1–2 Low · 3–5 Medium · 6–9 High</t>
  </si>
  <si>
    <t xml:space="preserve">Risk</t>
  </si>
  <si>
    <t xml:space="preserve">Likelihood</t>
  </si>
  <si>
    <t xml:space="preserve">Impact</t>
  </si>
  <si>
    <t xml:space="preserve">Score</t>
  </si>
  <si>
    <t xml:space="preserve">Level</t>
  </si>
  <si>
    <t xml:space="preserve">Contingency plan</t>
  </si>
  <si>
    <t xml:space="preserve">Last review</t>
  </si>
  <si>
    <t xml:space="preserve">R1</t>
  </si>
  <si>
    <t xml:space="preserve">GitHub unavailable or access problems near a deadline</t>
  </si>
  <si>
    <t xml:space="preserve">Open</t>
  </si>
  <si>
    <t xml:space="preserve">Finish each delivery one day early; local clone on every computer; commit after every work session; tell the instructors with evidence of the outage.</t>
  </si>
  <si>
    <t xml:space="preserve">External risk register revised after the instructor's feedback (12 Oct).</t>
  </si>
  <si>
    <t xml:space="preserve">R2</t>
  </si>
  <si>
    <t xml:space="preserve">Public databases (UniProt, PDB, NCBI) unavailable, or their records updated or superseded during the project</t>
  </si>
  <si>
    <t xml:space="preserve">Record every accession with its access date; archive the files used in the repository; check the current record before citing; use a mirror or an alternative database.</t>
  </si>
  <si>
    <t xml:space="preserve">R3</t>
  </si>
  <si>
    <t xml:space="preserve">Illness or unforeseen personal circumstances make a member unavailable</t>
  </si>
  <si>
    <t xml:space="preserve">A second member knows the status of every task; tasks documented in the Project Status; pending tasks redistributed at the weekly meeting; Gantt chart updated.</t>
  </si>
  <si>
    <t xml:space="preserve">R4</t>
  </si>
  <si>
    <t xml:space="preserve">Exams and deadlines from other courses overlap with the project period</t>
  </si>
  <si>
    <t xml:space="preserve">Collect each member's exam dates; schedule heavy tasks away from them; two days of margin before each delivery; rebalance tasks when a conflict appears.</t>
  </si>
  <si>
    <t xml:space="preserve">R5</t>
  </si>
  <si>
    <t xml:space="preserve">Online analysis tools or servers (alignment, structure viewers) unavailable, overloaded, or changed</t>
  </si>
  <si>
    <t xml:space="preserve">Run each analysis soon after its lab; know an alternative tool; save inputs and parameters; export every result to the repository.</t>
  </si>
  <si>
    <t xml:space="preserve">R6</t>
  </si>
  <si>
    <t xml:space="preserve">Little published evidence, or no experimental structures, for the variants or species studied; articles behind paywalls</t>
  </si>
  <si>
    <t xml:space="preserve">Search early; university library access; open-access articles and reviews for context; predicted structures, stated as such; justify any topic left out.</t>
  </si>
  <si>
    <t xml:space="preserve">R7</t>
  </si>
  <si>
    <t xml:space="preserve">Course requirements, deadlines, or instructions changed or clarified during the project</t>
  </si>
  <si>
    <t xml:space="preserve">Check announcements and documents at every weekly meeting; ask the instructors about ambiguities; record confirmed dates; adapt the plan.</t>
  </si>
  <si>
    <t xml:space="preserve">R8</t>
  </si>
  <si>
    <t xml:space="preserve">A practical session (8, 15, or 22 October) cancelled or rescheduled</t>
  </si>
  <si>
    <t xml:space="preserve">Learn the method from the course materials and tutoring hours; move the dependent task to the first available date.</t>
  </si>
  <si>
    <t xml:space="preserve">R9</t>
  </si>
  <si>
    <t xml:space="preserve">Failure of a member's computer or internet connection</t>
  </si>
  <si>
    <t xml:space="preserve">Keep all work in the remote repository; use university computers or a teammate's device; reassign the affected task if needed.</t>
  </si>
  <si>
    <t xml:space="preserve">Date</t>
  </si>
  <si>
    <t xml:space="preserve">Holiday</t>
  </si>
  <si>
    <t xml:space="preserve">Local holiday</t>
  </si>
  <si>
    <t xml:space="preserve">Add any further non-working day in column A; all working-day formulas use rows 2–40.</t>
  </si>
  <si>
    <t xml:space="preserve">National holiday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</si>
</sst>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.mm"/>
    <numFmt numFmtId="166" formatCode="dd\ mmm"/>
    <numFmt numFmtId="167" formatCode="d"/>
    <numFmt numFmtId="168" formatCode="ddd\ dd\ mmm"/>
    <numFmt numFmtId="169" formatCode="@"/>
    <numFmt numFmtId="170" formatCode="ddd\ dd\ mmm\ yyyy"/>
    <numFmt numFmtId="171" formatCode="General"/>
    <numFmt numFmtId="172" formatCode="dd\ mmm\ yy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4426E"/>
      <name val="Arial"/>
      <family val="2"/>
      <charset val="1"/>
    </font>
    <font>
      <i val="true"/>
      <sz val="10"/>
      <color rgb="FF555555"/>
      <name val="Arial"/>
      <family val="2"/>
      <charset val="1"/>
    </font>
    <font>
      <b val="true"/>
      <sz val="12"/>
      <color rgb="FF24426E"/>
      <name val="Arial"/>
      <family val="2"/>
      <charset val="1"/>
    </font>
    <font>
      <sz val="10"/>
      <color rgb="FF1D2433"/>
      <name val="Arial"/>
      <family val="2"/>
      <charset val="1"/>
    </font>
    <font>
      <b val="true"/>
      <sz val="10"/>
      <color rgb="FF1D2433"/>
      <name val="Arial"/>
      <family val="2"/>
      <charset val="1"/>
    </font>
    <font>
      <b val="true"/>
      <sz val="12"/>
      <color rgb="FF1D2433"/>
      <name val="Arial"/>
      <family val="2"/>
      <charset val="1"/>
    </font>
    <font>
      <i val="true"/>
      <sz val="9"/>
      <color rgb="FF555555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D81B9A"/>
      <name val="Arial"/>
      <family val="2"/>
      <charset val="1"/>
    </font>
    <font>
      <b val="true"/>
      <sz val="10"/>
      <color rgb="FF222222"/>
      <name val="Arial"/>
      <family val="2"/>
      <charset val="1"/>
    </font>
    <font>
      <b val="true"/>
      <sz val="10"/>
      <color rgb="FF7F7F7F"/>
      <name val="Arial"/>
      <family val="2"/>
      <charset val="1"/>
    </font>
    <font>
      <b val="true"/>
      <sz val="10"/>
      <color rgb="FFE63946"/>
      <name val="Arial"/>
      <family val="2"/>
      <charset val="1"/>
    </font>
    <font>
      <b val="true"/>
      <sz val="10"/>
      <color rgb="FF8AC926"/>
      <name val="Arial"/>
      <family val="2"/>
      <charset val="1"/>
    </font>
    <font>
      <b val="true"/>
      <sz val="10"/>
      <color rgb="FF00A6FB"/>
      <name val="Arial"/>
      <family val="2"/>
      <charset val="1"/>
    </font>
    <font>
      <b val="true"/>
      <sz val="10"/>
      <color rgb="FF24426E"/>
      <name val="Arial"/>
      <family val="2"/>
      <charset val="1"/>
    </font>
    <font>
      <sz val="9"/>
      <color rgb="FF1D2433"/>
      <name val="Arial"/>
      <family val="2"/>
      <charset val="1"/>
    </font>
    <font>
      <b val="true"/>
      <sz val="10"/>
      <color rgb="FF1E7E34"/>
      <name val="Arial"/>
      <family val="2"/>
      <charset val="1"/>
    </font>
    <font>
      <b val="true"/>
      <sz val="10"/>
      <color rgb="FFC0392B"/>
      <name val="Arial"/>
      <family val="2"/>
      <charset val="1"/>
    </font>
    <font>
      <b val="true"/>
      <sz val="10"/>
      <color rgb="FF8A6D00"/>
      <name val="Arial"/>
      <family val="2"/>
      <charset val="1"/>
    </font>
    <font>
      <b val="true"/>
      <sz val="10"/>
      <color rgb="FF5F6368"/>
      <name val="Arial"/>
      <family val="2"/>
      <charset val="1"/>
    </font>
    <font>
      <b val="true"/>
      <sz val="10"/>
      <color rgb="FF1A5DAB"/>
      <name val="Arial"/>
      <family val="2"/>
      <charset val="1"/>
    </font>
    <font>
      <b val="true"/>
      <sz val="13"/>
      <color rgb="FF24426E"/>
      <name val="Arial"/>
      <family val="2"/>
      <charset val="1"/>
    </font>
    <font>
      <b val="true"/>
      <sz val="8"/>
      <color rgb="FF24426E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7"/>
      <color rgb="FF1D2433"/>
      <name val="Arial"/>
      <family val="2"/>
      <charset val="1"/>
    </font>
    <font>
      <b val="true"/>
      <sz val="10"/>
      <color rgb="FFB03A2E"/>
      <name val="Arial"/>
      <family val="2"/>
      <charset val="1"/>
    </font>
    <font>
      <b val="true"/>
      <sz val="7"/>
      <color rgb="FFB03A2E"/>
      <name val="Arial"/>
      <family val="2"/>
      <charset val="1"/>
    </font>
    <font>
      <b val="true"/>
      <sz val="7"/>
      <color rgb="FF24426E"/>
      <name val="Arial"/>
      <family val="2"/>
      <charset val="1"/>
    </font>
    <font>
      <i val="true"/>
      <sz val="8"/>
      <color rgb="FF555555"/>
      <name val="Arial"/>
      <family val="2"/>
      <charset val="1"/>
    </font>
    <font>
      <sz val="10"/>
      <name val="Arial"/>
      <family val="2"/>
    </font>
    <font>
      <b val="true"/>
      <sz val="11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3CD"/>
      </patternFill>
    </fill>
    <fill>
      <patternFill patternType="solid">
        <fgColor rgb="FF24426E"/>
        <bgColor rgb="FF3C4043"/>
      </patternFill>
    </fill>
    <fill>
      <patternFill patternType="solid">
        <fgColor rgb="FFECEEF1"/>
        <bgColor rgb="FFE9ECEF"/>
      </patternFill>
    </fill>
    <fill>
      <patternFill patternType="solid">
        <fgColor rgb="FFDCE5F2"/>
        <bgColor rgb="FFD6EAF8"/>
      </patternFill>
    </fill>
    <fill>
      <patternFill patternType="solid">
        <fgColor rgb="FFD5EFEC"/>
        <bgColor rgb="FFD6EAF8"/>
      </patternFill>
    </fill>
    <fill>
      <patternFill patternType="solid">
        <fgColor rgb="FFF8E6C2"/>
        <bgColor rgb="FFFFF2CC"/>
      </patternFill>
    </fill>
    <fill>
      <patternFill patternType="solid">
        <fgColor rgb="FFE7DFF2"/>
        <bgColor rgb="FFDCE5F2"/>
      </patternFill>
    </fill>
    <fill>
      <patternFill patternType="solid">
        <fgColor rgb="FF3C4043"/>
        <bgColor rgb="FF24426E"/>
      </patternFill>
    </fill>
    <fill>
      <patternFill patternType="solid">
        <fgColor rgb="FFD4EDDA"/>
        <bgColor rgb="FFD5EFEC"/>
      </patternFill>
    </fill>
    <fill>
      <patternFill patternType="solid">
        <fgColor rgb="FFF8D7DA"/>
        <bgColor rgb="FFE7DFF2"/>
      </patternFill>
    </fill>
    <fill>
      <patternFill patternType="solid">
        <fgColor rgb="FFFFF3CD"/>
        <bgColor rgb="FFFFF2CC"/>
      </patternFill>
    </fill>
    <fill>
      <patternFill patternType="solid">
        <fgColor rgb="FFE9ECEF"/>
        <bgColor rgb="FFECEEF1"/>
      </patternFill>
    </fill>
    <fill>
      <patternFill patternType="solid">
        <fgColor rgb="FFD6EAF8"/>
        <bgColor rgb="FFDCE5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ck">
        <color rgb="FF9AA3AF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ck">
        <color rgb="FF4A6FA5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ck">
        <color rgb="FF2A9D8F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ck">
        <color rgb="FFD98E04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ck">
        <color rgb="FF8E6CB8"/>
      </left>
      <right style="thin">
        <color rgb="FFD5D9E0"/>
      </right>
      <top style="thin">
        <color rgb="FFD5D9E0"/>
      </top>
      <bottom style="thin">
        <color rgb="FFD5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1" fontId="7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2" fontId="7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2">
    <dxf>
      <fill>
        <patternFill patternType="solid">
          <fgColor rgb="FF24426E"/>
          <bgColor rgb="FF000000"/>
        </patternFill>
      </fill>
    </dxf>
    <dxf>
      <fill>
        <patternFill patternType="solid">
          <fgColor rgb="FFD5EFEC"/>
          <bgColor rgb="FF000000"/>
        </patternFill>
      </fill>
    </dxf>
    <dxf>
      <fill>
        <patternFill patternType="solid">
          <fgColor rgb="FFDCE5F2"/>
          <bgColor rgb="FF000000"/>
        </patternFill>
      </fill>
    </dxf>
    <dxf>
      <fill>
        <patternFill patternType="solid">
          <fgColor rgb="FFE7DFF2"/>
          <bgColor rgb="FF000000"/>
        </patternFill>
      </fill>
    </dxf>
    <dxf>
      <fill>
        <patternFill patternType="solid">
          <fgColor rgb="FFECEEF1"/>
          <bgColor rgb="FF000000"/>
        </patternFill>
      </fill>
    </dxf>
    <dxf>
      <fill>
        <patternFill patternType="solid">
          <fgColor rgb="FFF8E6C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24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A6FB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8AC926"/>
          <bgColor rgb="FF000000"/>
        </patternFill>
      </fill>
    </dxf>
    <dxf>
      <fill>
        <patternFill patternType="solid">
          <fgColor rgb="FFD81B9A"/>
          <bgColor rgb="FF000000"/>
        </patternFill>
      </fill>
    </dxf>
    <dxf>
      <fill>
        <patternFill patternType="solid">
          <fgColor rgb="FFE6394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3C4043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1A5DAB"/>
          <bgColor rgb="FF000000"/>
        </patternFill>
      </fill>
    </dxf>
    <dxf>
      <fill>
        <patternFill patternType="solid">
          <fgColor rgb="FF1E7E34"/>
          <bgColor rgb="FF000000"/>
        </patternFill>
      </fill>
    </dxf>
    <dxf>
      <font>
        <b val="1"/>
        <color rgb="FFFFFFFF"/>
      </font>
      <fill>
        <patternFill>
          <bgColor rgb="FF3C4043"/>
        </patternFill>
      </fill>
    </dxf>
    <dxf>
      <font>
        <b val="1"/>
        <color rgb="FF1E7E34"/>
      </font>
      <fill>
        <patternFill>
          <bgColor rgb="FFD4EDDA"/>
        </patternFill>
      </fill>
    </dxf>
    <dxf>
      <font>
        <b val="1"/>
        <color rgb="FFC0392B"/>
      </font>
      <fill>
        <patternFill>
          <bgColor rgb="FFF8D7DA"/>
        </patternFill>
      </fill>
    </dxf>
    <dxf>
      <font>
        <b val="1"/>
        <color rgb="FF8A6D00"/>
      </font>
      <fill>
        <patternFill>
          <bgColor rgb="FFFFF3CD"/>
        </patternFill>
      </fill>
    </dxf>
    <dxf>
      <font>
        <b val="1"/>
        <color rgb="FF5F6368"/>
      </font>
      <fill>
        <patternFill>
          <bgColor rgb="FFE9ECEF"/>
        </patternFill>
      </fill>
    </dxf>
    <dxf>
      <font>
        <b val="1"/>
        <color rgb="FF1A5DAB"/>
      </font>
      <fill>
        <patternFill>
          <bgColor rgb="FFD6EAF8"/>
        </patternFill>
      </fill>
    </dxf>
    <dxf>
      <font>
        <b val="1"/>
        <color rgb="FFC0392B"/>
      </font>
    </dxf>
    <dxf>
      <font>
        <b val="1"/>
        <color rgb="FFC0392B"/>
      </font>
      <fill>
        <patternFill>
          <bgColor rgb="FFF8D7DA"/>
        </patternFill>
      </fill>
    </dxf>
    <dxf>
      <fill>
        <patternFill patternType="solid">
          <fgColor rgb="FFCFEBC7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F2C4BE"/>
        </patternFill>
      </fill>
    </dxf>
    <dxf>
      <fill>
        <patternFill>
          <bgColor rgb="FFECEEF1"/>
        </patternFill>
      </fill>
    </dxf>
    <dxf>
      <fill>
        <patternFill>
          <bgColor rgb="FFDCE5F2"/>
        </patternFill>
      </fill>
    </dxf>
    <dxf>
      <fill>
        <patternFill>
          <bgColor rgb="FFD5EFEC"/>
        </patternFill>
      </fill>
    </dxf>
    <dxf>
      <fill>
        <patternFill>
          <bgColor rgb="FFF8E6C2"/>
        </patternFill>
      </fill>
    </dxf>
    <dxf>
      <fill>
        <patternFill>
          <bgColor rgb="FFE7DFF2"/>
        </patternFill>
      </fill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E63946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E63946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E63946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E63946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E63946"/>
        </bottom>
        <diagonal/>
      </border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8AC926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8AC926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8AC926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8AC926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8AC926"/>
        </bottom>
        <diagonal/>
      </border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222222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222222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222222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222222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222222"/>
        </bottom>
        <diagonal/>
      </border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D81B9A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D81B9A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D81B9A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D81B9A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D81B9A"/>
        </bottom>
        <diagonal/>
      </border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00A6FB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00A6FB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00A6FB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00A6FB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00A6FB"/>
        </bottom>
        <diagonal/>
      </border>
    </dxf>
    <dxf>
      <fill>
        <patternFill>
          <bgColor rgb="FF9AA3AF"/>
        </patternFill>
      </fill>
      <border diagonalUp="false" diagonalDown="false">
        <left/>
        <right/>
        <top/>
        <bottom style="thick">
          <color rgb="FF7F7F7F"/>
        </bottom>
        <diagonal/>
      </border>
    </dxf>
    <dxf>
      <fill>
        <patternFill>
          <bgColor rgb="FF4A6FA5"/>
        </patternFill>
      </fill>
      <border diagonalUp="false" diagonalDown="false">
        <left/>
        <right/>
        <top/>
        <bottom style="thick">
          <color rgb="FF7F7F7F"/>
        </bottom>
        <diagonal/>
      </border>
    </dxf>
    <dxf>
      <fill>
        <patternFill>
          <bgColor rgb="FF2A9D8F"/>
        </patternFill>
      </fill>
      <border diagonalUp="false" diagonalDown="false">
        <left/>
        <right/>
        <top/>
        <bottom style="thick">
          <color rgb="FF7F7F7F"/>
        </bottom>
        <diagonal/>
      </border>
    </dxf>
    <dxf>
      <fill>
        <patternFill>
          <bgColor rgb="FFD98E04"/>
        </patternFill>
      </fill>
      <border diagonalUp="false" diagonalDown="false">
        <left/>
        <right/>
        <top/>
        <bottom style="thick">
          <color rgb="FF7F7F7F"/>
        </bottom>
        <diagonal/>
      </border>
    </dxf>
    <dxf>
      <fill>
        <patternFill>
          <bgColor rgb="FF8E6CB8"/>
        </patternFill>
      </fill>
      <border diagonalUp="false" diagonalDown="false">
        <left/>
        <right/>
        <top/>
        <bottom style="thick">
          <color rgb="FF7F7F7F"/>
        </bottom>
        <diagonal/>
      </border>
    </dxf>
    <dxf>
      <fill>
        <patternFill>
          <bgColor rgb="FFB03A2E"/>
        </patternFill>
      </fill>
    </dxf>
    <dxf>
      <fill>
        <patternFill>
          <bgColor rgb="FFCFEBC7"/>
        </patternFill>
      </fill>
    </dxf>
    <dxf>
      <fill>
        <patternFill>
          <bgColor rgb="FFFFE2A0"/>
        </patternFill>
      </fill>
    </dxf>
    <dxf>
      <fill>
        <patternFill>
          <bgColor rgb="FFF5B0A5"/>
        </patternFill>
      </fill>
    </dxf>
    <dxf>
      <fill>
        <patternFill>
          <bgColor rgb="FFD9D9D9"/>
        </patternFill>
      </fill>
    </dxf>
    <dxf>
      <font>
        <b val="1"/>
        <color rgb="FFFFFFFF"/>
      </font>
      <fill>
        <patternFill>
          <bgColor rgb="FF3C4043"/>
        </patternFill>
      </fill>
    </dxf>
    <dxf>
      <font>
        <b val="1"/>
        <color rgb="FF1E7E34"/>
      </font>
      <fill>
        <patternFill>
          <bgColor rgb="FFD4EDDA"/>
        </patternFill>
      </fill>
    </dxf>
    <dxf>
      <font>
        <b val="1"/>
        <color rgb="FFC0392B"/>
      </font>
      <fill>
        <patternFill>
          <bgColor rgb="FFF8D7DA"/>
        </patternFill>
      </fill>
    </dxf>
    <dxf>
      <font>
        <b val="1"/>
        <color rgb="FF8A6D00"/>
      </font>
      <fill>
        <patternFill>
          <bgColor rgb="FFFFF3CD"/>
        </patternFill>
      </fill>
    </dxf>
    <dxf>
      <font>
        <b val="1"/>
        <color rgb="FF5F6368"/>
      </font>
      <fill>
        <patternFill>
          <bgColor rgb="FFE9ECEF"/>
        </patternFill>
      </fill>
    </dxf>
    <dxf>
      <font>
        <b val="1"/>
        <color rgb="FF1A5DAB"/>
      </font>
      <fill>
        <patternFill>
          <bgColor rgb="FFD6EAF8"/>
        </patternFill>
      </fill>
    </dxf>
    <dxf>
      <fill>
        <patternFill>
          <bgColor rgb="FFF5B0A5"/>
        </patternFill>
      </fill>
    </dxf>
    <dxf>
      <fill>
        <patternFill>
          <bgColor rgb="FFFFE2A0"/>
        </patternFill>
      </fill>
    </dxf>
    <dxf>
      <fill>
        <patternFill>
          <bgColor rgb="FFCFEB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E6C2"/>
      <rgbColor rgb="FFFF00FF"/>
      <rgbColor rgb="FFECEEF1"/>
      <rgbColor rgb="FF800000"/>
      <rgbColor rgb="FF1E7E34"/>
      <rgbColor rgb="FF000080"/>
      <rgbColor rgb="FF8A6D00"/>
      <rgbColor rgb="FF800080"/>
      <rgbColor rgb="FF555555"/>
      <rgbColor rgb="FFD9D9D9"/>
      <rgbColor rgb="FF7F7F7F"/>
      <rgbColor rgb="FF8E6CB8"/>
      <rgbColor rgb="FFC0392B"/>
      <rgbColor rgb="FFFFF3CD"/>
      <rgbColor rgb="FFD5EFEC"/>
      <rgbColor rgb="FF660066"/>
      <rgbColor rgb="FFE7DFF2"/>
      <rgbColor rgb="FF1A5DAB"/>
      <rgbColor rgb="FFD5D9E0"/>
      <rgbColor rgb="FF000080"/>
      <rgbColor rgb="FFFF00FF"/>
      <rgbColor rgb="FFCFEBC7"/>
      <rgbColor rgb="FF00FFFF"/>
      <rgbColor rgb="FF800080"/>
      <rgbColor rgb="FF800000"/>
      <rgbColor rgb="FF008080"/>
      <rgbColor rgb="FF0000FF"/>
      <rgbColor rgb="FF00A6FB"/>
      <rgbColor rgb="FFD6EAF8"/>
      <rgbColor rgb="FFD4EDDA"/>
      <rgbColor rgb="FFFFF2CC"/>
      <rgbColor rgb="FFDCE5F2"/>
      <rgbColor rgb="FFF5B0A5"/>
      <rgbColor rgb="FFF8D7DA"/>
      <rgbColor rgb="FFF2C4BE"/>
      <rgbColor rgb="FF4A6FA5"/>
      <rgbColor rgb="FFE9ECEF"/>
      <rgbColor rgb="FF8AC926"/>
      <rgbColor rgb="FFFFE2A0"/>
      <rgbColor rgb="FFD98E04"/>
      <rgbColor rgb="FFE63946"/>
      <rgbColor rgb="FF5F6368"/>
      <rgbColor rgb="FF9AA3AF"/>
      <rgbColor rgb="FF1D2433"/>
      <rgbColor rgb="FF2A9D8F"/>
      <rgbColor rgb="FF003300"/>
      <rgbColor rgb="FF222222"/>
      <rgbColor rgb="FFB03A2E"/>
      <rgbColor rgb="FFD81B9A"/>
      <rgbColor rgb="FF24426E"/>
      <rgbColor rgb="FF3C4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0"/>
  </cols>
  <sheetData>
    <row r="1" customFormat="false" ht="18.75" hidden="false" customHeight="tru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/>
    </row>
    <row r="4" customFormat="false" ht="16.5" hidden="false" customHeight="true" outlineLevel="0" collapsed="false">
      <c r="A4" s="5" t="s">
        <v>2</v>
      </c>
    </row>
    <row r="5" customFormat="false" ht="15" hidden="false" customHeight="false" outlineLevel="0" collapsed="false">
      <c r="A5" s="6" t="s">
        <v>3</v>
      </c>
    </row>
    <row r="6" customFormat="false" ht="27.75" hidden="false" customHeight="true" outlineLevel="0" collapsed="false">
      <c r="A6" s="6" t="s">
        <v>4</v>
      </c>
    </row>
    <row r="7" customFormat="false" ht="15" hidden="false" customHeight="false" outlineLevel="0" collapsed="false">
      <c r="A7" s="6" t="s">
        <v>5</v>
      </c>
    </row>
    <row r="8" customFormat="false" ht="27.75" hidden="false" customHeight="true" outlineLevel="0" collapsed="false">
      <c r="A8" s="6" t="s">
        <v>6</v>
      </c>
    </row>
    <row r="9" customFormat="false" ht="15" hidden="false" customHeight="false" outlineLevel="0" collapsed="false">
      <c r="A9" s="6" t="s">
        <v>7</v>
      </c>
    </row>
    <row r="10" customFormat="false" ht="27.75" hidden="false" customHeight="true" outlineLevel="0" collapsed="false">
      <c r="A10" s="6" t="s">
        <v>8</v>
      </c>
    </row>
    <row r="11" customFormat="false" ht="15" hidden="false" customHeight="false" outlineLevel="0" collapsed="false">
      <c r="A11" s="4"/>
    </row>
    <row r="12" customFormat="false" ht="16.5" hidden="false" customHeight="true" outlineLevel="0" collapsed="false">
      <c r="A12" s="5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6" t="s">
        <v>11</v>
      </c>
    </row>
    <row r="15" customFormat="false" ht="27.75" hidden="false" customHeight="true" outlineLevel="0" collapsed="false">
      <c r="A15" s="6" t="s">
        <v>12</v>
      </c>
    </row>
    <row r="16" customFormat="false" ht="15" hidden="false" customHeight="false" outlineLevel="0" collapsed="false">
      <c r="A16" s="4"/>
    </row>
    <row r="17" customFormat="false" ht="16.5" hidden="false" customHeight="true" outlineLevel="0" collapsed="false">
      <c r="A17" s="5" t="s">
        <v>13</v>
      </c>
    </row>
    <row r="18" customFormat="false" ht="27.75" hidden="false" customHeight="true" outlineLevel="0" collapsed="false">
      <c r="A18" s="6" t="s">
        <v>14</v>
      </c>
    </row>
    <row r="19" customFormat="false" ht="15" hidden="false" customHeight="false" outlineLevel="0" collapsed="false">
      <c r="A19" s="6" t="s">
        <v>15</v>
      </c>
    </row>
    <row r="20" customFormat="false" ht="15" hidden="false" customHeight="false" outlineLevel="0" collapsed="false">
      <c r="A20" s="4"/>
    </row>
    <row r="21" customFormat="false" ht="16.5" hidden="false" customHeight="true" outlineLevel="0" collapsed="false">
      <c r="A21" s="5" t="s">
        <v>16</v>
      </c>
    </row>
    <row r="22" customFormat="false" ht="27.75" hidden="false" customHeight="true" outlineLevel="0" collapsed="false">
      <c r="A22" s="6" t="s">
        <v>17</v>
      </c>
    </row>
    <row r="23" customFormat="false" ht="55.5" hidden="false" customHeight="true" outlineLevel="0" collapsed="false">
      <c r="A23" s="6" t="s">
        <v>18</v>
      </c>
    </row>
    <row r="26" customFormat="false" ht="15" hidden="false" customHeight="false" outlineLevel="0" collapsed="false">
      <c r="A26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9"/>
    <col collapsed="false" customWidth="true" hidden="false" outlineLevel="0" max="6" min="3" style="1" width="11"/>
    <col collapsed="false" customWidth="true" hidden="false" outlineLevel="0" max="7" min="7" style="1" width="13"/>
    <col collapsed="false" customWidth="true" hidden="false" outlineLevel="0" max="8" min="8" style="1" width="60"/>
  </cols>
  <sheetData>
    <row r="1" customFormat="false" ht="18" hidden="false" customHeight="true" outlineLevel="0" collapsed="false">
      <c r="A1" s="8" t="s">
        <v>20</v>
      </c>
    </row>
    <row r="2" customFormat="false" ht="15.75" hidden="false" customHeight="true" outlineLevel="0" collapsed="false">
      <c r="A2" s="9" t="s">
        <v>21</v>
      </c>
      <c r="B2" s="10" t="n">
        <v>46321</v>
      </c>
      <c r="C2" s="11" t="s">
        <v>22</v>
      </c>
    </row>
    <row r="4" customFormat="false" ht="33.75" hidden="false" customHeight="true" outlineLevel="0" collapsed="false">
      <c r="A4" s="12" t="s">
        <v>23</v>
      </c>
      <c r="B4" s="12" t="s">
        <v>24</v>
      </c>
      <c r="C4" s="12" t="s">
        <v>25</v>
      </c>
      <c r="D4" s="12" t="s">
        <v>26</v>
      </c>
      <c r="E4" s="12" t="s">
        <v>27</v>
      </c>
      <c r="F4" s="12" t="s">
        <v>28</v>
      </c>
      <c r="G4" s="12" t="s">
        <v>29</v>
      </c>
      <c r="H4" s="12" t="s">
        <v>30</v>
      </c>
    </row>
    <row r="5" customFormat="false" ht="15" hidden="false" customHeight="false" outlineLevel="0" collapsed="false">
      <c r="A5" s="13" t="s">
        <v>31</v>
      </c>
      <c r="B5" s="14"/>
      <c r="C5" s="14"/>
      <c r="D5" s="14"/>
      <c r="E5" s="14"/>
      <c r="F5" s="14"/>
      <c r="G5" s="14"/>
      <c r="H5" s="14"/>
    </row>
    <row r="6" customFormat="false" ht="15" hidden="false" customHeight="false" outlineLevel="0" collapsed="false">
      <c r="A6" s="15" t="s">
        <v>32</v>
      </c>
      <c r="B6" s="16" t="s">
        <v>33</v>
      </c>
      <c r="C6" s="17" t="n">
        <f aca="false">Tasks!H6</f>
        <v>46282</v>
      </c>
      <c r="D6" s="17" t="n">
        <f aca="false">Tasks!I6</f>
        <v>46282</v>
      </c>
      <c r="E6" s="18" t="n">
        <v>46282</v>
      </c>
      <c r="F6" s="18" t="n">
        <v>46282</v>
      </c>
      <c r="G6" s="19" t="s">
        <v>34</v>
      </c>
      <c r="H6" s="20" t="s">
        <v>35</v>
      </c>
    </row>
    <row r="7" customFormat="false" ht="15" hidden="false" customHeight="false" outlineLevel="0" collapsed="false">
      <c r="A7" s="15" t="s">
        <v>36</v>
      </c>
      <c r="B7" s="21" t="s">
        <v>37</v>
      </c>
      <c r="C7" s="17" t="n">
        <f aca="false">Tasks!H7</f>
        <v>46282</v>
      </c>
      <c r="D7" s="17" t="n">
        <f aca="false">Tasks!I7</f>
        <v>46282</v>
      </c>
      <c r="E7" s="18" t="n">
        <v>46282</v>
      </c>
      <c r="F7" s="18" t="n">
        <v>46282</v>
      </c>
      <c r="G7" s="19" t="s">
        <v>34</v>
      </c>
      <c r="H7" s="20" t="s">
        <v>35</v>
      </c>
    </row>
    <row r="8" customFormat="false" ht="15" hidden="false" customHeight="false" outlineLevel="0" collapsed="false">
      <c r="A8" s="15" t="s">
        <v>38</v>
      </c>
      <c r="B8" s="22" t="s">
        <v>39</v>
      </c>
      <c r="C8" s="17" t="n">
        <f aca="false">Tasks!H8</f>
        <v>46286</v>
      </c>
      <c r="D8" s="17" t="n">
        <f aca="false">Tasks!I8</f>
        <v>46303</v>
      </c>
      <c r="E8" s="18" t="n">
        <v>46286</v>
      </c>
      <c r="F8" s="18" t="n">
        <v>46303</v>
      </c>
      <c r="G8" s="19" t="s">
        <v>34</v>
      </c>
      <c r="H8" s="20" t="s">
        <v>40</v>
      </c>
    </row>
    <row r="9" customFormat="false" ht="15" hidden="false" customHeight="false" outlineLevel="0" collapsed="false">
      <c r="A9" s="15" t="s">
        <v>41</v>
      </c>
      <c r="B9" s="22" t="s">
        <v>39</v>
      </c>
      <c r="C9" s="17" t="n">
        <f aca="false">Tasks!H9</f>
        <v>46286</v>
      </c>
      <c r="D9" s="17" t="n">
        <f aca="false">Tasks!I9</f>
        <v>46286</v>
      </c>
      <c r="E9" s="18" t="n">
        <v>46286</v>
      </c>
      <c r="F9" s="18" t="n">
        <v>46286</v>
      </c>
      <c r="G9" s="19" t="s">
        <v>34</v>
      </c>
      <c r="H9" s="20" t="s">
        <v>40</v>
      </c>
    </row>
    <row r="10" customFormat="false" ht="15" hidden="false" customHeight="false" outlineLevel="0" collapsed="false">
      <c r="A10" s="15" t="s">
        <v>42</v>
      </c>
      <c r="B10" s="23" t="s">
        <v>43</v>
      </c>
      <c r="C10" s="17" t="n">
        <f aca="false">Tasks!H10</f>
        <v>46293</v>
      </c>
      <c r="D10" s="17" t="n">
        <f aca="false">Tasks!I10</f>
        <v>46293</v>
      </c>
      <c r="E10" s="18" t="n">
        <v>46293</v>
      </c>
      <c r="F10" s="18" t="n">
        <v>46293</v>
      </c>
      <c r="G10" s="19" t="s">
        <v>34</v>
      </c>
      <c r="H10" s="20" t="s">
        <v>44</v>
      </c>
    </row>
    <row r="11" customFormat="false" ht="15" hidden="false" customHeight="false" outlineLevel="0" collapsed="false">
      <c r="A11" s="15" t="s">
        <v>45</v>
      </c>
      <c r="B11" s="22" t="s">
        <v>39</v>
      </c>
      <c r="C11" s="17" t="n">
        <f aca="false">Tasks!H11</f>
        <v>46293</v>
      </c>
      <c r="D11" s="17" t="n">
        <f aca="false">Tasks!I11</f>
        <v>46293</v>
      </c>
      <c r="E11" s="18" t="n">
        <v>46293</v>
      </c>
      <c r="F11" s="18" t="n">
        <v>46293</v>
      </c>
      <c r="G11" s="19" t="s">
        <v>34</v>
      </c>
      <c r="H11" s="20" t="s">
        <v>40</v>
      </c>
    </row>
    <row r="12" customFormat="false" ht="15" hidden="false" customHeight="false" outlineLevel="0" collapsed="false">
      <c r="A12" s="15" t="s">
        <v>46</v>
      </c>
      <c r="B12" s="22" t="s">
        <v>39</v>
      </c>
      <c r="C12" s="17" t="n">
        <f aca="false">Tasks!H12</f>
        <v>46300</v>
      </c>
      <c r="D12" s="17" t="n">
        <f aca="false">Tasks!I12</f>
        <v>46300</v>
      </c>
      <c r="E12" s="18" t="n">
        <v>46300</v>
      </c>
      <c r="F12" s="18" t="n">
        <v>46300</v>
      </c>
      <c r="G12" s="19" t="s">
        <v>34</v>
      </c>
      <c r="H12" s="20" t="s">
        <v>40</v>
      </c>
    </row>
    <row r="13" customFormat="false" ht="15" hidden="false" customHeight="false" outlineLevel="0" collapsed="false">
      <c r="A13" s="15" t="s">
        <v>47</v>
      </c>
      <c r="B13" s="21" t="s">
        <v>37</v>
      </c>
      <c r="C13" s="17" t="n">
        <f aca="false">Tasks!H13</f>
        <v>46300</v>
      </c>
      <c r="D13" s="17" t="n">
        <f aca="false">Tasks!I13</f>
        <v>46303</v>
      </c>
      <c r="E13" s="18" t="n">
        <v>46300</v>
      </c>
      <c r="F13" s="18" t="n">
        <v>46303</v>
      </c>
      <c r="G13" s="19" t="s">
        <v>34</v>
      </c>
      <c r="H13" s="20" t="s">
        <v>48</v>
      </c>
    </row>
    <row r="14" customFormat="false" ht="27.75" hidden="false" customHeight="true" outlineLevel="0" collapsed="false">
      <c r="A14" s="15" t="s">
        <v>49</v>
      </c>
      <c r="B14" s="22" t="s">
        <v>39</v>
      </c>
      <c r="C14" s="17" t="n">
        <f aca="false">Tasks!H14</f>
        <v>46303</v>
      </c>
      <c r="D14" s="17" t="n">
        <f aca="false">Tasks!I14</f>
        <v>46303</v>
      </c>
      <c r="E14" s="18" t="n">
        <v>46303</v>
      </c>
      <c r="F14" s="18" t="n">
        <v>46303</v>
      </c>
      <c r="G14" s="19" t="s">
        <v>34</v>
      </c>
      <c r="H14" s="20" t="s">
        <v>40</v>
      </c>
    </row>
    <row r="15" customFormat="false" ht="15" hidden="false" customHeight="false" outlineLevel="0" collapsed="false">
      <c r="A15" s="24" t="s">
        <v>50</v>
      </c>
      <c r="B15" s="25"/>
      <c r="C15" s="25"/>
      <c r="D15" s="25"/>
      <c r="E15" s="25"/>
      <c r="F15" s="25"/>
      <c r="G15" s="25"/>
      <c r="H15" s="25"/>
    </row>
    <row r="16" customFormat="false" ht="27.75" hidden="false" customHeight="true" outlineLevel="0" collapsed="false">
      <c r="A16" s="15" t="s">
        <v>51</v>
      </c>
      <c r="B16" s="21" t="s">
        <v>37</v>
      </c>
      <c r="C16" s="17" t="n">
        <f aca="false">Tasks!H16</f>
        <v>46304</v>
      </c>
      <c r="D16" s="17" t="n">
        <f aca="false">Tasks!I16</f>
        <v>46304</v>
      </c>
      <c r="E16" s="18" t="n">
        <v>46304</v>
      </c>
      <c r="F16" s="18" t="n">
        <v>46304</v>
      </c>
      <c r="G16" s="19" t="s">
        <v>34</v>
      </c>
      <c r="H16" s="20" t="s">
        <v>52</v>
      </c>
    </row>
    <row r="17" customFormat="false" ht="27.75" hidden="false" customHeight="true" outlineLevel="0" collapsed="false">
      <c r="A17" s="15" t="s">
        <v>53</v>
      </c>
      <c r="B17" s="23" t="s">
        <v>43</v>
      </c>
      <c r="C17" s="17" t="n">
        <f aca="false">Tasks!H17</f>
        <v>46304</v>
      </c>
      <c r="D17" s="17" t="n">
        <f aca="false">Tasks!I17</f>
        <v>46304</v>
      </c>
      <c r="E17" s="18" t="n">
        <v>46303</v>
      </c>
      <c r="F17" s="18" t="n">
        <v>46304</v>
      </c>
      <c r="G17" s="19" t="s">
        <v>34</v>
      </c>
      <c r="H17" s="20" t="s">
        <v>54</v>
      </c>
    </row>
    <row r="18" customFormat="false" ht="27.75" hidden="false" customHeight="true" outlineLevel="0" collapsed="false">
      <c r="A18" s="15" t="s">
        <v>55</v>
      </c>
      <c r="B18" s="26" t="s">
        <v>56</v>
      </c>
      <c r="C18" s="17" t="n">
        <f aca="false">Tasks!H18</f>
        <v>46304</v>
      </c>
      <c r="D18" s="17" t="n">
        <f aca="false">Tasks!I18</f>
        <v>46304</v>
      </c>
      <c r="E18" s="18" t="n">
        <v>46303</v>
      </c>
      <c r="F18" s="18" t="n">
        <v>46303</v>
      </c>
      <c r="G18" s="19" t="s">
        <v>34</v>
      </c>
      <c r="H18" s="20" t="s">
        <v>57</v>
      </c>
    </row>
    <row r="19" customFormat="false" ht="15" hidden="false" customHeight="false" outlineLevel="0" collapsed="false">
      <c r="A19" s="15" t="s">
        <v>58</v>
      </c>
      <c r="B19" s="27" t="s">
        <v>59</v>
      </c>
      <c r="C19" s="17" t="n">
        <f aca="false">Tasks!H19</f>
        <v>46304</v>
      </c>
      <c r="D19" s="17" t="n">
        <f aca="false">Tasks!I19</f>
        <v>46304</v>
      </c>
      <c r="E19" s="18" t="n">
        <v>46303</v>
      </c>
      <c r="F19" s="18" t="n">
        <v>46303</v>
      </c>
      <c r="G19" s="19" t="s">
        <v>34</v>
      </c>
      <c r="H19" s="20" t="s">
        <v>60</v>
      </c>
    </row>
    <row r="20" customFormat="false" ht="27.75" hidden="false" customHeight="true" outlineLevel="0" collapsed="false">
      <c r="A20" s="15" t="s">
        <v>61</v>
      </c>
      <c r="B20" s="16" t="s">
        <v>33</v>
      </c>
      <c r="C20" s="17" t="n">
        <f aca="false">Tasks!H20</f>
        <v>46304</v>
      </c>
      <c r="D20" s="17" t="n">
        <f aca="false">Tasks!I20</f>
        <v>46304</v>
      </c>
      <c r="E20" s="18" t="n">
        <v>46303</v>
      </c>
      <c r="F20" s="18" t="n">
        <v>46304</v>
      </c>
      <c r="G20" s="19" t="s">
        <v>34</v>
      </c>
      <c r="H20" s="20" t="s">
        <v>62</v>
      </c>
    </row>
    <row r="21" customFormat="false" ht="27.75" hidden="false" customHeight="true" outlineLevel="0" collapsed="false">
      <c r="A21" s="15" t="s">
        <v>63</v>
      </c>
      <c r="B21" s="21" t="s">
        <v>37</v>
      </c>
      <c r="C21" s="17" t="n">
        <f aca="false">Tasks!H21</f>
        <v>46308</v>
      </c>
      <c r="D21" s="17" t="n">
        <f aca="false">Tasks!I21</f>
        <v>46308</v>
      </c>
      <c r="E21" s="18" t="n">
        <v>46304</v>
      </c>
      <c r="F21" s="18" t="n">
        <v>46304</v>
      </c>
      <c r="G21" s="19" t="s">
        <v>34</v>
      </c>
      <c r="H21" s="20" t="s">
        <v>64</v>
      </c>
    </row>
    <row r="22" customFormat="false" ht="27.75" hidden="false" customHeight="true" outlineLevel="0" collapsed="false">
      <c r="A22" s="15" t="s">
        <v>65</v>
      </c>
      <c r="B22" s="21" t="s">
        <v>37</v>
      </c>
      <c r="C22" s="17" t="n">
        <f aca="false">Tasks!H22</f>
        <v>46311</v>
      </c>
      <c r="D22" s="17" t="n">
        <f aca="false">Tasks!I22</f>
        <v>46318</v>
      </c>
      <c r="E22" s="18" t="n">
        <v>46311</v>
      </c>
      <c r="F22" s="18" t="n">
        <v>46318</v>
      </c>
      <c r="G22" s="19" t="s">
        <v>34</v>
      </c>
      <c r="H22" s="20" t="s">
        <v>66</v>
      </c>
    </row>
    <row r="23" customFormat="false" ht="15" hidden="false" customHeight="false" outlineLevel="0" collapsed="false">
      <c r="A23" s="15" t="s">
        <v>67</v>
      </c>
      <c r="B23" s="21" t="s">
        <v>37</v>
      </c>
      <c r="C23" s="17" t="n">
        <f aca="false">Tasks!H23</f>
        <v>46315</v>
      </c>
      <c r="D23" s="17" t="n">
        <f aca="false">Tasks!I23</f>
        <v>46315</v>
      </c>
      <c r="E23" s="18" t="n">
        <v>46315</v>
      </c>
      <c r="F23" s="18" t="n">
        <v>46315</v>
      </c>
      <c r="G23" s="19" t="s">
        <v>34</v>
      </c>
      <c r="H23" s="20" t="s">
        <v>68</v>
      </c>
    </row>
    <row r="24" customFormat="false" ht="15" hidden="false" customHeight="false" outlineLevel="0" collapsed="false">
      <c r="A24" s="15" t="s">
        <v>69</v>
      </c>
      <c r="B24" s="21" t="s">
        <v>37</v>
      </c>
      <c r="C24" s="17" t="n">
        <f aca="false">Tasks!H24</f>
        <v>46322</v>
      </c>
      <c r="D24" s="17" t="n">
        <f aca="false">Tasks!I24</f>
        <v>46322</v>
      </c>
      <c r="E24" s="18" t="n">
        <v>46321</v>
      </c>
      <c r="F24" s="18" t="n">
        <v>46321</v>
      </c>
      <c r="G24" s="19" t="s">
        <v>34</v>
      </c>
      <c r="H24" s="20" t="s">
        <v>70</v>
      </c>
    </row>
    <row r="25" customFormat="false" ht="15" hidden="false" customHeight="false" outlineLevel="0" collapsed="false">
      <c r="A25" s="28" t="s">
        <v>71</v>
      </c>
      <c r="B25" s="29"/>
      <c r="C25" s="29"/>
      <c r="D25" s="29"/>
      <c r="E25" s="29"/>
      <c r="F25" s="29"/>
      <c r="G25" s="29"/>
      <c r="H25" s="29"/>
    </row>
    <row r="26" customFormat="false" ht="42" hidden="false" customHeight="true" outlineLevel="0" collapsed="false">
      <c r="A26" s="15" t="s">
        <v>72</v>
      </c>
      <c r="B26" s="26" t="s">
        <v>56</v>
      </c>
      <c r="C26" s="17" t="n">
        <f aca="false">Tasks!H26</f>
        <v>46308</v>
      </c>
      <c r="D26" s="17" t="n">
        <f aca="false">Tasks!I26</f>
        <v>46308</v>
      </c>
      <c r="E26" s="18" t="n">
        <v>46318</v>
      </c>
      <c r="F26" s="18" t="n">
        <v>46319</v>
      </c>
      <c r="G26" s="19" t="s">
        <v>34</v>
      </c>
      <c r="H26" s="20" t="s">
        <v>73</v>
      </c>
    </row>
    <row r="27" customFormat="false" ht="27.75" hidden="false" customHeight="true" outlineLevel="0" collapsed="false">
      <c r="A27" s="15" t="s">
        <v>74</v>
      </c>
      <c r="B27" s="16" t="s">
        <v>33</v>
      </c>
      <c r="C27" s="17" t="n">
        <f aca="false">Tasks!H27</f>
        <v>46308</v>
      </c>
      <c r="D27" s="17" t="n">
        <f aca="false">Tasks!I27</f>
        <v>46308</v>
      </c>
      <c r="E27" s="18" t="n">
        <v>46319</v>
      </c>
      <c r="F27" s="18" t="n">
        <v>46319</v>
      </c>
      <c r="G27" s="19" t="s">
        <v>34</v>
      </c>
      <c r="H27" s="20" t="s">
        <v>75</v>
      </c>
    </row>
    <row r="28" customFormat="false" ht="27.75" hidden="false" customHeight="true" outlineLevel="0" collapsed="false">
      <c r="A28" s="15" t="s">
        <v>76</v>
      </c>
      <c r="B28" s="16" t="s">
        <v>33</v>
      </c>
      <c r="C28" s="17" t="n">
        <f aca="false">Tasks!H28</f>
        <v>46310</v>
      </c>
      <c r="D28" s="17" t="n">
        <f aca="false">Tasks!I28</f>
        <v>46311</v>
      </c>
      <c r="E28" s="18" t="n">
        <v>46319</v>
      </c>
      <c r="F28" s="18" t="n">
        <v>46319</v>
      </c>
      <c r="G28" s="19" t="s">
        <v>34</v>
      </c>
      <c r="H28" s="20" t="s">
        <v>77</v>
      </c>
    </row>
    <row r="29" customFormat="false" ht="27.75" hidden="false" customHeight="true" outlineLevel="0" collapsed="false">
      <c r="A29" s="15" t="s">
        <v>78</v>
      </c>
      <c r="B29" s="23" t="s">
        <v>43</v>
      </c>
      <c r="C29" s="17" t="n">
        <f aca="false">Tasks!H29</f>
        <v>46308</v>
      </c>
      <c r="D29" s="17" t="n">
        <f aca="false">Tasks!I29</f>
        <v>46310</v>
      </c>
      <c r="E29" s="18" t="n">
        <v>46318</v>
      </c>
      <c r="F29" s="18" t="n">
        <v>46321</v>
      </c>
      <c r="G29" s="19" t="s">
        <v>34</v>
      </c>
      <c r="H29" s="20" t="s">
        <v>79</v>
      </c>
    </row>
    <row r="30" customFormat="false" ht="27.75" hidden="false" customHeight="true" outlineLevel="0" collapsed="false">
      <c r="A30" s="15" t="s">
        <v>80</v>
      </c>
      <c r="B30" s="16" t="s">
        <v>33</v>
      </c>
      <c r="C30" s="17" t="n">
        <f aca="false">Tasks!H30</f>
        <v>46309</v>
      </c>
      <c r="D30" s="17" t="n">
        <f aca="false">Tasks!I30</f>
        <v>46309</v>
      </c>
      <c r="E30" s="18" t="n">
        <v>46319</v>
      </c>
      <c r="F30" s="18" t="n">
        <v>46319</v>
      </c>
      <c r="G30" s="19" t="s">
        <v>34</v>
      </c>
      <c r="H30" s="20" t="s">
        <v>81</v>
      </c>
    </row>
    <row r="31" customFormat="false" ht="27.75" hidden="false" customHeight="true" outlineLevel="0" collapsed="false">
      <c r="A31" s="15" t="s">
        <v>82</v>
      </c>
      <c r="B31" s="27" t="s">
        <v>59</v>
      </c>
      <c r="C31" s="17" t="n">
        <f aca="false">Tasks!H31</f>
        <v>46308</v>
      </c>
      <c r="D31" s="17" t="n">
        <f aca="false">Tasks!I31</f>
        <v>46308</v>
      </c>
      <c r="E31" s="18" t="n">
        <v>46319</v>
      </c>
      <c r="F31" s="18" t="n">
        <v>46321</v>
      </c>
      <c r="G31" s="19" t="s">
        <v>34</v>
      </c>
      <c r="H31" s="20" t="s">
        <v>83</v>
      </c>
    </row>
    <row r="32" customFormat="false" ht="27.75" hidden="false" customHeight="true" outlineLevel="0" collapsed="false">
      <c r="A32" s="15" t="s">
        <v>84</v>
      </c>
      <c r="B32" s="16" t="s">
        <v>33</v>
      </c>
      <c r="C32" s="17" t="n">
        <f aca="false">Tasks!H32</f>
        <v>46314</v>
      </c>
      <c r="D32" s="17" t="n">
        <f aca="false">Tasks!I32</f>
        <v>46314</v>
      </c>
      <c r="E32" s="18" t="n">
        <v>46319</v>
      </c>
      <c r="F32" s="18" t="n">
        <v>46321</v>
      </c>
      <c r="G32" s="19" t="s">
        <v>34</v>
      </c>
      <c r="H32" s="20" t="s">
        <v>85</v>
      </c>
    </row>
    <row r="33" customFormat="false" ht="27.75" hidden="false" customHeight="true" outlineLevel="0" collapsed="false">
      <c r="A33" s="15" t="s">
        <v>86</v>
      </c>
      <c r="B33" s="21" t="s">
        <v>37</v>
      </c>
      <c r="C33" s="17" t="n">
        <f aca="false">Tasks!H33</f>
        <v>46309</v>
      </c>
      <c r="D33" s="17" t="n">
        <f aca="false">Tasks!I33</f>
        <v>46309</v>
      </c>
      <c r="E33" s="18" t="n">
        <v>46319</v>
      </c>
      <c r="F33" s="18" t="n">
        <v>46319</v>
      </c>
      <c r="G33" s="19" t="s">
        <v>34</v>
      </c>
      <c r="H33" s="20" t="s">
        <v>87</v>
      </c>
    </row>
    <row r="34" customFormat="false" ht="15" hidden="false" customHeight="false" outlineLevel="0" collapsed="false">
      <c r="A34" s="30" t="s">
        <v>88</v>
      </c>
      <c r="B34" s="31"/>
      <c r="C34" s="31"/>
      <c r="D34" s="31"/>
      <c r="E34" s="31"/>
      <c r="F34" s="31"/>
      <c r="G34" s="31"/>
      <c r="H34" s="31"/>
    </row>
    <row r="35" customFormat="false" ht="27.75" hidden="false" customHeight="true" outlineLevel="0" collapsed="false">
      <c r="A35" s="15" t="s">
        <v>89</v>
      </c>
      <c r="B35" s="26" t="s">
        <v>56</v>
      </c>
      <c r="C35" s="17" t="n">
        <f aca="false">Tasks!H35</f>
        <v>46310</v>
      </c>
      <c r="D35" s="17" t="n">
        <f aca="false">Tasks!I35</f>
        <v>46310</v>
      </c>
      <c r="E35" s="18" t="n">
        <v>46318</v>
      </c>
      <c r="F35" s="18" t="n">
        <v>46319</v>
      </c>
      <c r="G35" s="19" t="s">
        <v>34</v>
      </c>
      <c r="H35" s="20" t="s">
        <v>90</v>
      </c>
    </row>
    <row r="36" customFormat="false" ht="27.75" hidden="false" customHeight="true" outlineLevel="0" collapsed="false">
      <c r="A36" s="15" t="s">
        <v>91</v>
      </c>
      <c r="B36" s="26" t="s">
        <v>56</v>
      </c>
      <c r="C36" s="17" t="n">
        <f aca="false">Tasks!H36</f>
        <v>46311</v>
      </c>
      <c r="D36" s="17" t="n">
        <f aca="false">Tasks!I36</f>
        <v>46314</v>
      </c>
      <c r="E36" s="18" t="n">
        <v>46319</v>
      </c>
      <c r="F36" s="18" t="n">
        <v>46319</v>
      </c>
      <c r="G36" s="19" t="s">
        <v>34</v>
      </c>
      <c r="H36" s="20" t="s">
        <v>92</v>
      </c>
    </row>
    <row r="37" customFormat="false" ht="27.75" hidden="false" customHeight="true" outlineLevel="0" collapsed="false">
      <c r="A37" s="15" t="s">
        <v>93</v>
      </c>
      <c r="B37" s="27" t="s">
        <v>59</v>
      </c>
      <c r="C37" s="17" t="n">
        <f aca="false">Tasks!H37</f>
        <v>46309</v>
      </c>
      <c r="D37" s="17" t="n">
        <f aca="false">Tasks!I37</f>
        <v>46310</v>
      </c>
      <c r="E37" s="18" t="n">
        <v>46319</v>
      </c>
      <c r="F37" s="18" t="n">
        <v>46319</v>
      </c>
      <c r="G37" s="19" t="s">
        <v>34</v>
      </c>
      <c r="H37" s="20" t="s">
        <v>94</v>
      </c>
    </row>
    <row r="38" customFormat="false" ht="27.75" hidden="false" customHeight="true" outlineLevel="0" collapsed="false">
      <c r="A38" s="15" t="s">
        <v>95</v>
      </c>
      <c r="B38" s="27" t="s">
        <v>59</v>
      </c>
      <c r="C38" s="17" t="n">
        <f aca="false">Tasks!H38</f>
        <v>46311</v>
      </c>
      <c r="D38" s="17" t="n">
        <f aca="false">Tasks!I38</f>
        <v>46314</v>
      </c>
      <c r="E38" s="18" t="n">
        <v>46319</v>
      </c>
      <c r="F38" s="18" t="n">
        <v>46319</v>
      </c>
      <c r="G38" s="19" t="s">
        <v>34</v>
      </c>
      <c r="H38" s="20" t="s">
        <v>96</v>
      </c>
    </row>
    <row r="39" customFormat="false" ht="27.75" hidden="false" customHeight="true" outlineLevel="0" collapsed="false">
      <c r="A39" s="15" t="s">
        <v>97</v>
      </c>
      <c r="B39" s="27" t="s">
        <v>59</v>
      </c>
      <c r="C39" s="17" t="n">
        <f aca="false">Tasks!H39</f>
        <v>46315</v>
      </c>
      <c r="D39" s="17" t="n">
        <f aca="false">Tasks!I39</f>
        <v>46315</v>
      </c>
      <c r="E39" s="18" t="n">
        <v>46319</v>
      </c>
      <c r="F39" s="18"/>
      <c r="G39" s="19" t="s">
        <v>98</v>
      </c>
      <c r="H39" s="20" t="s">
        <v>99</v>
      </c>
    </row>
    <row r="40" customFormat="false" ht="27.75" hidden="false" customHeight="true" outlineLevel="0" collapsed="false">
      <c r="A40" s="15" t="s">
        <v>100</v>
      </c>
      <c r="B40" s="23" t="s">
        <v>43</v>
      </c>
      <c r="C40" s="17" t="n">
        <f aca="false">Tasks!H40</f>
        <v>46314</v>
      </c>
      <c r="D40" s="17" t="n">
        <f aca="false">Tasks!I40</f>
        <v>46314</v>
      </c>
      <c r="E40" s="18" t="n">
        <v>46321</v>
      </c>
      <c r="F40" s="18" t="n">
        <v>46321</v>
      </c>
      <c r="G40" s="19" t="s">
        <v>34</v>
      </c>
      <c r="H40" s="20" t="s">
        <v>101</v>
      </c>
    </row>
    <row r="41" customFormat="false" ht="27.75" hidden="false" customHeight="true" outlineLevel="0" collapsed="false">
      <c r="A41" s="15" t="s">
        <v>102</v>
      </c>
      <c r="B41" s="23" t="s">
        <v>43</v>
      </c>
      <c r="C41" s="17" t="n">
        <f aca="false">Tasks!H41</f>
        <v>46315</v>
      </c>
      <c r="D41" s="17" t="n">
        <f aca="false">Tasks!I41</f>
        <v>46315</v>
      </c>
      <c r="E41" s="18" t="n">
        <v>46321</v>
      </c>
      <c r="F41" s="18" t="n">
        <v>46321</v>
      </c>
      <c r="G41" s="19" t="s">
        <v>34</v>
      </c>
      <c r="H41" s="20" t="s">
        <v>103</v>
      </c>
    </row>
    <row r="42" customFormat="false" ht="15" hidden="false" customHeight="false" outlineLevel="0" collapsed="false">
      <c r="A42" s="15" t="s">
        <v>104</v>
      </c>
      <c r="B42" s="21" t="s">
        <v>37</v>
      </c>
      <c r="C42" s="17" t="n">
        <f aca="false">Tasks!H42</f>
        <v>46316</v>
      </c>
      <c r="D42" s="17" t="n">
        <f aca="false">Tasks!I42</f>
        <v>46316</v>
      </c>
      <c r="E42" s="18" t="n">
        <v>46320</v>
      </c>
      <c r="F42" s="18" t="n">
        <v>46320</v>
      </c>
      <c r="G42" s="19" t="s">
        <v>34</v>
      </c>
      <c r="H42" s="20" t="s">
        <v>105</v>
      </c>
    </row>
    <row r="43" customFormat="false" ht="42" hidden="false" customHeight="true" outlineLevel="0" collapsed="false">
      <c r="A43" s="15" t="s">
        <v>106</v>
      </c>
      <c r="B43" s="16" t="s">
        <v>33</v>
      </c>
      <c r="C43" s="17" t="n">
        <f aca="false">Tasks!H43</f>
        <v>46315</v>
      </c>
      <c r="D43" s="17" t="n">
        <f aca="false">Tasks!I43</f>
        <v>46315</v>
      </c>
      <c r="E43" s="18" t="n">
        <v>46319</v>
      </c>
      <c r="F43" s="18" t="n">
        <v>46319</v>
      </c>
      <c r="G43" s="19" t="s">
        <v>34</v>
      </c>
      <c r="H43" s="20" t="s">
        <v>107</v>
      </c>
    </row>
    <row r="44" customFormat="false" ht="42" hidden="false" customHeight="true" outlineLevel="0" collapsed="false">
      <c r="A44" s="15" t="s">
        <v>108</v>
      </c>
      <c r="B44" s="16" t="s">
        <v>39</v>
      </c>
      <c r="C44" s="17" t="n">
        <f aca="false">Tasks!H44</f>
        <v>46320</v>
      </c>
      <c r="D44" s="17" t="n">
        <f aca="false">Tasks!I44</f>
        <v>46321</v>
      </c>
      <c r="E44" s="18" t="n">
        <v>46320</v>
      </c>
      <c r="F44" s="18" t="n">
        <v>46321</v>
      </c>
      <c r="G44" s="19" t="s">
        <v>34</v>
      </c>
      <c r="H44" s="20" t="s">
        <v>109</v>
      </c>
    </row>
    <row r="45" customFormat="false" ht="42" hidden="false" customHeight="true" outlineLevel="0" collapsed="false">
      <c r="A45" s="15" t="s">
        <v>110</v>
      </c>
      <c r="B45" s="16" t="s">
        <v>59</v>
      </c>
      <c r="C45" s="17" t="n">
        <f aca="false">Tasks!H45</f>
        <v>46321</v>
      </c>
      <c r="D45" s="17" t="n">
        <f aca="false">Tasks!I45</f>
        <v>46321</v>
      </c>
      <c r="E45" s="18" t="n">
        <v>46321</v>
      </c>
      <c r="F45" s="18" t="n">
        <v>46321</v>
      </c>
      <c r="G45" s="19" t="s">
        <v>34</v>
      </c>
      <c r="H45" s="20" t="s">
        <v>111</v>
      </c>
    </row>
    <row r="46" customFormat="false" ht="15" hidden="false" customHeight="false" outlineLevel="0" collapsed="false">
      <c r="A46" s="32" t="s">
        <v>112</v>
      </c>
      <c r="B46" s="33"/>
      <c r="C46" s="33"/>
      <c r="D46" s="33"/>
      <c r="E46" s="33"/>
      <c r="F46" s="33"/>
      <c r="G46" s="33"/>
      <c r="H46" s="33"/>
    </row>
    <row r="47" customFormat="false" ht="15" hidden="false" customHeight="false" outlineLevel="0" collapsed="false">
      <c r="A47" s="15" t="s">
        <v>113</v>
      </c>
      <c r="B47" s="23" t="s">
        <v>43</v>
      </c>
      <c r="C47" s="17" t="n">
        <f aca="false">Tasks!H47</f>
        <v>46316</v>
      </c>
      <c r="D47" s="17" t="n">
        <f aca="false">Tasks!I47</f>
        <v>46317</v>
      </c>
      <c r="E47" s="18" t="n">
        <v>46319</v>
      </c>
      <c r="F47" s="18" t="n">
        <v>46321</v>
      </c>
      <c r="G47" s="19" t="s">
        <v>34</v>
      </c>
      <c r="H47" s="20" t="s">
        <v>114</v>
      </c>
    </row>
    <row r="48" customFormat="false" ht="15" hidden="false" customHeight="false" outlineLevel="0" collapsed="false">
      <c r="A48" s="15" t="s">
        <v>115</v>
      </c>
      <c r="B48" s="16" t="s">
        <v>33</v>
      </c>
      <c r="C48" s="17" t="n">
        <f aca="false">Tasks!H48</f>
        <v>46316</v>
      </c>
      <c r="D48" s="17" t="n">
        <f aca="false">Tasks!I48</f>
        <v>46317</v>
      </c>
      <c r="E48" s="18" t="n">
        <v>46321</v>
      </c>
      <c r="F48" s="18" t="n">
        <v>46321</v>
      </c>
      <c r="G48" s="19" t="s">
        <v>34</v>
      </c>
      <c r="H48" s="20" t="s">
        <v>116</v>
      </c>
    </row>
    <row r="49" customFormat="false" ht="23.85" hidden="false" customHeight="false" outlineLevel="0" collapsed="false">
      <c r="A49" s="15" t="s">
        <v>117</v>
      </c>
      <c r="B49" s="26" t="s">
        <v>56</v>
      </c>
      <c r="C49" s="17" t="n">
        <f aca="false">Tasks!H49</f>
        <v>46315</v>
      </c>
      <c r="D49" s="17" t="n">
        <f aca="false">Tasks!I49</f>
        <v>46316</v>
      </c>
      <c r="E49" s="18" t="n">
        <v>46321</v>
      </c>
      <c r="F49" s="18" t="n">
        <v>46321</v>
      </c>
      <c r="G49" s="19" t="s">
        <v>34</v>
      </c>
      <c r="H49" s="20" t="s">
        <v>118</v>
      </c>
    </row>
    <row r="50" customFormat="false" ht="15" hidden="false" customHeight="false" outlineLevel="0" collapsed="false">
      <c r="A50" s="15" t="s">
        <v>119</v>
      </c>
      <c r="B50" s="27" t="s">
        <v>59</v>
      </c>
      <c r="C50" s="17" t="n">
        <f aca="false">Tasks!H50</f>
        <v>46316</v>
      </c>
      <c r="D50" s="17" t="n">
        <f aca="false">Tasks!I50</f>
        <v>46317</v>
      </c>
      <c r="E50" s="18" t="n">
        <v>46321</v>
      </c>
      <c r="F50" s="18" t="n">
        <v>46321</v>
      </c>
      <c r="G50" s="19" t="s">
        <v>34</v>
      </c>
      <c r="H50" s="20" t="s">
        <v>120</v>
      </c>
    </row>
    <row r="51" customFormat="false" ht="15" hidden="false" customHeight="false" outlineLevel="0" collapsed="false">
      <c r="A51" s="15" t="s">
        <v>121</v>
      </c>
      <c r="B51" s="21" t="s">
        <v>37</v>
      </c>
      <c r="C51" s="17" t="n">
        <f aca="false">Tasks!H51</f>
        <v>46317</v>
      </c>
      <c r="D51" s="17" t="n">
        <f aca="false">Tasks!I51</f>
        <v>46318</v>
      </c>
      <c r="E51" s="18" t="n">
        <v>46321</v>
      </c>
      <c r="F51" s="18" t="n">
        <v>46321</v>
      </c>
      <c r="G51" s="19" t="s">
        <v>34</v>
      </c>
      <c r="H51" s="20" t="s">
        <v>122</v>
      </c>
    </row>
    <row r="52" customFormat="false" ht="23.85" hidden="false" customHeight="false" outlineLevel="0" collapsed="false">
      <c r="A52" s="15" t="s">
        <v>123</v>
      </c>
      <c r="B52" s="23" t="s">
        <v>43</v>
      </c>
      <c r="C52" s="17" t="n">
        <f aca="false">Tasks!H52</f>
        <v>46321</v>
      </c>
      <c r="D52" s="17" t="n">
        <f aca="false">Tasks!I52</f>
        <v>46321</v>
      </c>
      <c r="E52" s="18" t="n">
        <v>46321</v>
      </c>
      <c r="F52" s="18" t="n">
        <v>46321</v>
      </c>
      <c r="G52" s="19" t="s">
        <v>34</v>
      </c>
      <c r="H52" s="20" t="s">
        <v>124</v>
      </c>
    </row>
    <row r="53" customFormat="false" ht="15" hidden="false" customHeight="false" outlineLevel="0" collapsed="false">
      <c r="A53" s="15" t="s">
        <v>125</v>
      </c>
      <c r="B53" s="26" t="s">
        <v>56</v>
      </c>
      <c r="C53" s="17" t="n">
        <f aca="false">Tasks!H53</f>
        <v>46322</v>
      </c>
      <c r="D53" s="17" t="n">
        <f aca="false">Tasks!I53</f>
        <v>46322</v>
      </c>
      <c r="E53" s="18" t="n">
        <v>46321</v>
      </c>
      <c r="F53" s="18" t="n">
        <v>46321</v>
      </c>
      <c r="G53" s="19" t="s">
        <v>34</v>
      </c>
      <c r="H53" s="20" t="s">
        <v>126</v>
      </c>
    </row>
    <row r="54" customFormat="false" ht="15" hidden="false" customHeight="false" outlineLevel="0" collapsed="false">
      <c r="A54" s="15" t="s">
        <v>127</v>
      </c>
      <c r="B54" s="16" t="s">
        <v>33</v>
      </c>
      <c r="C54" s="17" t="n">
        <f aca="false">Tasks!H54</f>
        <v>46322</v>
      </c>
      <c r="D54" s="17" t="n">
        <f aca="false">Tasks!I54</f>
        <v>46322</v>
      </c>
      <c r="E54" s="18" t="n">
        <v>46321</v>
      </c>
      <c r="F54" s="18" t="n">
        <v>46321</v>
      </c>
      <c r="G54" s="19" t="s">
        <v>34</v>
      </c>
      <c r="H54" s="20" t="s">
        <v>128</v>
      </c>
    </row>
    <row r="55" customFormat="false" ht="23.85" hidden="false" customHeight="false" outlineLevel="0" collapsed="false">
      <c r="A55" s="15" t="s">
        <v>129</v>
      </c>
      <c r="B55" s="23" t="s">
        <v>43</v>
      </c>
      <c r="C55" s="17" t="n">
        <f aca="false">Tasks!H55</f>
        <v>46323</v>
      </c>
      <c r="D55" s="17" t="n">
        <f aca="false">Tasks!I55</f>
        <v>46323</v>
      </c>
      <c r="E55" s="18" t="n">
        <v>46321</v>
      </c>
      <c r="F55" s="18" t="n">
        <v>46321</v>
      </c>
      <c r="G55" s="19" t="s">
        <v>34</v>
      </c>
      <c r="H55" s="20" t="s">
        <v>130</v>
      </c>
    </row>
    <row r="56" customFormat="false" ht="27.75" hidden="false" customHeight="true" outlineLevel="0" collapsed="false">
      <c r="A56" s="15" t="s">
        <v>131</v>
      </c>
      <c r="B56" s="23" t="s">
        <v>43</v>
      </c>
      <c r="C56" s="17" t="n">
        <f aca="false">Tasks!H56</f>
        <v>46324</v>
      </c>
      <c r="D56" s="17" t="n">
        <f aca="false">Tasks!I56</f>
        <v>46324</v>
      </c>
      <c r="E56" s="18"/>
      <c r="F56" s="18"/>
      <c r="G56" s="19" t="s">
        <v>132</v>
      </c>
      <c r="H56" s="20"/>
    </row>
    <row r="57" customFormat="false" ht="15" hidden="false" customHeight="false" outlineLevel="0" collapsed="false">
      <c r="A57" s="15" t="s">
        <v>133</v>
      </c>
      <c r="B57" s="16" t="s">
        <v>33</v>
      </c>
      <c r="C57" s="17" t="n">
        <f aca="false">Tasks!H57</f>
        <v>46324</v>
      </c>
      <c r="D57" s="17" t="n">
        <f aca="false">Tasks!I57</f>
        <v>46324</v>
      </c>
      <c r="E57" s="18"/>
      <c r="F57" s="18"/>
      <c r="G57" s="19" t="s">
        <v>132</v>
      </c>
      <c r="H57" s="20"/>
    </row>
    <row r="58" customFormat="false" ht="15" hidden="false" customHeight="false" outlineLevel="0" collapsed="false">
      <c r="A58" s="15" t="s">
        <v>134</v>
      </c>
      <c r="B58" s="21" t="s">
        <v>37</v>
      </c>
      <c r="C58" s="17" t="n">
        <f aca="false">Tasks!H58</f>
        <v>46324</v>
      </c>
      <c r="D58" s="17" t="n">
        <f aca="false">Tasks!I58</f>
        <v>46324</v>
      </c>
      <c r="E58" s="18"/>
      <c r="F58" s="18"/>
      <c r="G58" s="19" t="s">
        <v>132</v>
      </c>
      <c r="H58" s="20"/>
    </row>
    <row r="59" customFormat="false" ht="27.75" hidden="false" customHeight="true" outlineLevel="0" collapsed="false">
      <c r="A59" s="15" t="s">
        <v>135</v>
      </c>
      <c r="B59" s="26" t="s">
        <v>56</v>
      </c>
      <c r="C59" s="17" t="n">
        <f aca="false">Tasks!H59</f>
        <v>46324</v>
      </c>
      <c r="D59" s="17" t="n">
        <f aca="false">Tasks!I59</f>
        <v>46324</v>
      </c>
      <c r="E59" s="18"/>
      <c r="F59" s="18"/>
      <c r="G59" s="19" t="s">
        <v>132</v>
      </c>
      <c r="H59" s="20"/>
    </row>
    <row r="60" customFormat="false" ht="15" hidden="false" customHeight="false" outlineLevel="0" collapsed="false">
      <c r="A60" s="15" t="s">
        <v>136</v>
      </c>
      <c r="B60" s="27" t="s">
        <v>59</v>
      </c>
      <c r="C60" s="17" t="n">
        <f aca="false">Tasks!H60</f>
        <v>46324</v>
      </c>
      <c r="D60" s="17" t="n">
        <f aca="false">Tasks!I60</f>
        <v>46324</v>
      </c>
      <c r="E60" s="18"/>
      <c r="F60" s="18"/>
      <c r="G60" s="19" t="s">
        <v>132</v>
      </c>
      <c r="H60" s="20"/>
    </row>
    <row r="61" customFormat="false" ht="27.75" hidden="false" customHeight="true" outlineLevel="0" collapsed="false">
      <c r="A61" s="15" t="s">
        <v>137</v>
      </c>
      <c r="B61" s="16" t="s">
        <v>33</v>
      </c>
      <c r="C61" s="17" t="n">
        <f aca="false">Tasks!H61</f>
        <v>46325</v>
      </c>
      <c r="D61" s="17" t="n">
        <f aca="false">Tasks!I61</f>
        <v>46325</v>
      </c>
      <c r="E61" s="18"/>
      <c r="F61" s="18"/>
      <c r="G61" s="19" t="s">
        <v>132</v>
      </c>
      <c r="H61" s="20"/>
    </row>
    <row r="62" customFormat="false" ht="27.75" hidden="false" customHeight="true" outlineLevel="0" collapsed="false">
      <c r="A62" s="15" t="s">
        <v>138</v>
      </c>
      <c r="B62" s="26" t="s">
        <v>56</v>
      </c>
      <c r="C62" s="17" t="n">
        <f aca="false">Tasks!H62</f>
        <v>46328</v>
      </c>
      <c r="D62" s="17" t="n">
        <f aca="false">Tasks!I62</f>
        <v>46329</v>
      </c>
      <c r="E62" s="18"/>
      <c r="F62" s="18"/>
      <c r="G62" s="19" t="s">
        <v>132</v>
      </c>
      <c r="H62" s="20"/>
    </row>
    <row r="64" customFormat="false" ht="15" hidden="false" customHeight="false" outlineLevel="0" collapsed="false">
      <c r="A64" s="34" t="s">
        <v>139</v>
      </c>
    </row>
    <row r="65" customFormat="false" ht="15" hidden="false" customHeight="false" outlineLevel="0" collapsed="false">
      <c r="A65" s="35" t="s">
        <v>98</v>
      </c>
      <c r="B65" s="36" t="s">
        <v>140</v>
      </c>
    </row>
    <row r="66" customFormat="false" ht="15" hidden="false" customHeight="false" outlineLevel="0" collapsed="false">
      <c r="A66" s="37" t="s">
        <v>34</v>
      </c>
      <c r="B66" s="36" t="s">
        <v>141</v>
      </c>
    </row>
    <row r="67" customFormat="false" ht="15" hidden="false" customHeight="false" outlineLevel="0" collapsed="false">
      <c r="A67" s="38" t="s">
        <v>142</v>
      </c>
      <c r="B67" s="36" t="s">
        <v>143</v>
      </c>
    </row>
    <row r="68" customFormat="false" ht="15" hidden="false" customHeight="false" outlineLevel="0" collapsed="false">
      <c r="A68" s="39" t="s">
        <v>144</v>
      </c>
      <c r="B68" s="36" t="s">
        <v>145</v>
      </c>
    </row>
    <row r="69" customFormat="false" ht="15" hidden="false" customHeight="false" outlineLevel="0" collapsed="false">
      <c r="A69" s="40" t="s">
        <v>146</v>
      </c>
      <c r="B69" s="36" t="s">
        <v>147</v>
      </c>
    </row>
    <row r="70" customFormat="false" ht="15" hidden="false" customHeight="false" outlineLevel="0" collapsed="false">
      <c r="A70" s="41" t="s">
        <v>132</v>
      </c>
      <c r="B70" s="36" t="s">
        <v>148</v>
      </c>
    </row>
    <row r="72" customFormat="false" ht="15" hidden="false" customHeight="false" outlineLevel="0" collapsed="false">
      <c r="A72" s="11" t="s">
        <v>149</v>
      </c>
    </row>
  </sheetData>
  <autoFilter ref="A4:H62"/>
  <conditionalFormatting sqref="G5:G62">
    <cfRule type="expression" priority="2" aboveAverage="0" equalAverage="0" bottom="0" percent="0" rank="0" text="" dxfId="22">
      <formula>$G5="Canceled"</formula>
    </cfRule>
    <cfRule type="expression" priority="3" aboveAverage="0" equalAverage="0" bottom="0" percent="0" rank="0" text="" dxfId="23">
      <formula>$G5="Completed"</formula>
    </cfRule>
    <cfRule type="expression" priority="4" aboveAverage="0" equalAverage="0" bottom="0" percent="0" rank="0" text="" dxfId="24">
      <formula>$G5="Incident"</formula>
    </cfRule>
    <cfRule type="expression" priority="5" aboveAverage="0" equalAverage="0" bottom="0" percent="0" rank="0" text="" dxfId="25">
      <formula>$G5="In progress"</formula>
    </cfRule>
    <cfRule type="expression" priority="6" aboveAverage="0" equalAverage="0" bottom="0" percent="0" rank="0" text="" dxfId="26">
      <formula>$G5="Backlog"</formula>
    </cfRule>
    <cfRule type="expression" priority="7" aboveAverage="0" equalAverage="0" bottom="0" percent="0" rank="0" text="" dxfId="27">
      <formula>$G5="Pending"</formula>
    </cfRule>
  </conditionalFormatting>
  <conditionalFormatting sqref="F46:F62 E5:F45 E46:E62">
    <cfRule type="expression" priority="8" aboveAverage="0" equalAverage="0" bottom="0" percent="0" rank="0" text="" dxfId="28">
      <formula>AND(ISNUMBER(E5),ISNUMBER(C5),E5&gt;C5)</formula>
    </cfRule>
  </conditionalFormatting>
  <conditionalFormatting sqref="D5:D62">
    <cfRule type="expression" priority="9" aboveAverage="0" equalAverage="0" bottom="0" percent="0" rank="0" text="" dxfId="29">
      <formula>AND(ISNUMBER(D5),F5="",D5&lt;$B$2,$G5&lt;&gt;"Completed",$G5&lt;&gt;"Canceled")</formula>
    </cfRule>
  </conditionalFormatting>
  <dataValidations count="2">
    <dataValidation allowBlank="true" errorStyle="stop" operator="between" showDropDown="false" showErrorMessage="false" showInputMessage="false" sqref="G5:G62" type="list">
      <formula1>"Backlog,Pending,In progress,Completed,Incident,Canceled"</formula1>
      <formula2>0</formula2>
    </dataValidation>
    <dataValidation allowBlank="true" error="Enter a date between 1 Sep and 31 Dec 2026 (for example 13/10/2026)." errorStyle="stop" errorTitle="Date" operator="between" showDropDown="false" showErrorMessage="false" showInputMessage="false" sqref="E5:F62" type="date">
      <formula1>DATE(2026,9,1)</formula1>
      <formula2>DATE(2026,12,31)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X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3" min="3" style="1" width="62"/>
    <col collapsed="false" customWidth="true" hidden="false" outlineLevel="0" max="5" min="4" style="1" width="9"/>
    <col collapsed="false" customWidth="true" hidden="false" outlineLevel="0" max="6" min="6" style="1" width="7"/>
    <col collapsed="false" customWidth="true" hidden="false" outlineLevel="0" max="7" min="7" style="1" width="13"/>
    <col collapsed="false" customWidth="true" hidden="false" outlineLevel="0" max="11" min="8" style="1" width="12"/>
    <col collapsed="false" customWidth="true" hidden="false" outlineLevel="0" max="12" min="12" style="1" width="11"/>
    <col collapsed="false" customWidth="true" hidden="false" outlineLevel="0" max="13" min="13" style="1" width="9"/>
    <col collapsed="false" customWidth="true" hidden="false" outlineLevel="0" max="49" min="14" style="1" width="3.67"/>
    <col collapsed="false" customWidth="true" hidden="false" outlineLevel="0" max="50" min="50" style="1" width="90"/>
  </cols>
  <sheetData>
    <row r="1" customFormat="false" ht="16.5" hidden="false" customHeight="true" outlineLevel="0" collapsed="false">
      <c r="A1" s="42" t="s">
        <v>150</v>
      </c>
    </row>
    <row r="2" customFormat="false" ht="15" hidden="false" customHeight="false" outlineLevel="0" collapsed="false">
      <c r="A2" s="11" t="s">
        <v>151</v>
      </c>
    </row>
    <row r="3" customFormat="false" ht="15" hidden="false" customHeight="false" outlineLevel="0" collapsed="false">
      <c r="N3" s="43" t="n">
        <v>46279</v>
      </c>
      <c r="O3" s="43"/>
      <c r="P3" s="43" t="n">
        <v>46286</v>
      </c>
      <c r="Q3" s="43"/>
      <c r="R3" s="43"/>
      <c r="S3" s="43"/>
      <c r="T3" s="43"/>
      <c r="U3" s="43" t="n">
        <v>46293</v>
      </c>
      <c r="V3" s="43"/>
      <c r="W3" s="43"/>
      <c r="X3" s="43"/>
      <c r="Y3" s="43"/>
      <c r="Z3" s="43" t="n">
        <v>46300</v>
      </c>
      <c r="AA3" s="43"/>
      <c r="AB3" s="43"/>
      <c r="AC3" s="43"/>
      <c r="AD3" s="43"/>
      <c r="AE3" s="43" t="n">
        <v>46307</v>
      </c>
      <c r="AF3" s="43"/>
      <c r="AG3" s="43"/>
      <c r="AH3" s="43"/>
      <c r="AI3" s="43"/>
      <c r="AJ3" s="43" t="n">
        <v>46314</v>
      </c>
      <c r="AK3" s="43"/>
      <c r="AL3" s="43"/>
      <c r="AM3" s="43"/>
      <c r="AN3" s="43"/>
      <c r="AO3" s="43" t="n">
        <v>46321</v>
      </c>
      <c r="AP3" s="43"/>
      <c r="AQ3" s="43"/>
      <c r="AR3" s="43"/>
      <c r="AS3" s="43"/>
      <c r="AT3" s="43" t="n">
        <v>46328</v>
      </c>
      <c r="AU3" s="43"/>
      <c r="AV3" s="43"/>
      <c r="AW3" s="43"/>
    </row>
    <row r="4" customFormat="false" ht="42" hidden="false" customHeight="true" outlineLevel="0" collapsed="false">
      <c r="A4" s="12" t="s">
        <v>152</v>
      </c>
      <c r="B4" s="12" t="s">
        <v>153</v>
      </c>
      <c r="C4" s="12" t="s">
        <v>23</v>
      </c>
      <c r="D4" s="12" t="s">
        <v>154</v>
      </c>
      <c r="E4" s="12" t="s">
        <v>155</v>
      </c>
      <c r="F4" s="12" t="s">
        <v>156</v>
      </c>
      <c r="G4" s="12" t="s">
        <v>157</v>
      </c>
      <c r="H4" s="12" t="s">
        <v>158</v>
      </c>
      <c r="I4" s="12" t="s">
        <v>159</v>
      </c>
      <c r="J4" s="12" t="s">
        <v>160</v>
      </c>
      <c r="K4" s="12" t="s">
        <v>161</v>
      </c>
      <c r="L4" s="12" t="s">
        <v>29</v>
      </c>
      <c r="M4" s="12" t="s">
        <v>162</v>
      </c>
      <c r="N4" s="44" t="n">
        <v>46282</v>
      </c>
      <c r="O4" s="44" t="n">
        <v>46283</v>
      </c>
      <c r="P4" s="44" t="n">
        <v>46286</v>
      </c>
      <c r="Q4" s="44" t="n">
        <v>46287</v>
      </c>
      <c r="R4" s="44" t="n">
        <v>46288</v>
      </c>
      <c r="S4" s="44" t="n">
        <v>46289</v>
      </c>
      <c r="T4" s="44" t="n">
        <v>46290</v>
      </c>
      <c r="U4" s="44" t="n">
        <v>46293</v>
      </c>
      <c r="V4" s="44" t="n">
        <v>46294</v>
      </c>
      <c r="W4" s="44" t="n">
        <v>46295</v>
      </c>
      <c r="X4" s="44" t="n">
        <v>46296</v>
      </c>
      <c r="Y4" s="44" t="n">
        <v>46297</v>
      </c>
      <c r="Z4" s="44" t="n">
        <v>46300</v>
      </c>
      <c r="AA4" s="44" t="n">
        <v>46301</v>
      </c>
      <c r="AB4" s="44" t="n">
        <v>46302</v>
      </c>
      <c r="AC4" s="44" t="n">
        <v>46303</v>
      </c>
      <c r="AD4" s="44" t="n">
        <v>46304</v>
      </c>
      <c r="AE4" s="44" t="n">
        <v>46307</v>
      </c>
      <c r="AF4" s="44" t="n">
        <v>46308</v>
      </c>
      <c r="AG4" s="44" t="n">
        <v>46309</v>
      </c>
      <c r="AH4" s="44" t="n">
        <v>46310</v>
      </c>
      <c r="AI4" s="44" t="n">
        <v>46311</v>
      </c>
      <c r="AJ4" s="44" t="n">
        <v>46314</v>
      </c>
      <c r="AK4" s="44" t="n">
        <v>46315</v>
      </c>
      <c r="AL4" s="44" t="n">
        <v>46316</v>
      </c>
      <c r="AM4" s="44" t="n">
        <v>46317</v>
      </c>
      <c r="AN4" s="44" t="n">
        <v>46318</v>
      </c>
      <c r="AO4" s="44" t="n">
        <v>46321</v>
      </c>
      <c r="AP4" s="44" t="n">
        <v>46322</v>
      </c>
      <c r="AQ4" s="44" t="n">
        <v>46323</v>
      </c>
      <c r="AR4" s="44" t="n">
        <v>46324</v>
      </c>
      <c r="AS4" s="44" t="n">
        <v>46325</v>
      </c>
      <c r="AT4" s="44" t="n">
        <v>46328</v>
      </c>
      <c r="AU4" s="44" t="n">
        <v>46329</v>
      </c>
      <c r="AV4" s="44" t="n">
        <v>46330</v>
      </c>
      <c r="AW4" s="44" t="n">
        <v>46331</v>
      </c>
      <c r="AX4" s="12" t="s">
        <v>163</v>
      </c>
    </row>
    <row r="5" customFormat="false" ht="15" hidden="false" customHeight="false" outlineLevel="0" collapsed="false">
      <c r="A5" s="13" t="s">
        <v>164</v>
      </c>
      <c r="B5" s="14" t="s">
        <v>164</v>
      </c>
      <c r="C5" s="14" t="s">
        <v>31</v>
      </c>
      <c r="D5" s="14"/>
      <c r="E5" s="14" t="n">
        <f aca="false">NETWORKDAYS(H5,I5,Holidays!$A$2:$A$40)</f>
        <v>15</v>
      </c>
      <c r="F5" s="14"/>
      <c r="G5" s="14"/>
      <c r="H5" s="45" t="n">
        <f aca="false">MIN(H6:H14)</f>
        <v>46282</v>
      </c>
      <c r="I5" s="45" t="n">
        <f aca="false">MAX(I6:I14)</f>
        <v>46303</v>
      </c>
      <c r="J5" s="14"/>
      <c r="K5" s="14"/>
      <c r="L5" s="14"/>
      <c r="M5" s="14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</row>
    <row r="6" customFormat="false" ht="15" hidden="false" customHeight="false" outlineLevel="0" collapsed="false">
      <c r="A6" s="47" t="s">
        <v>165</v>
      </c>
      <c r="B6" s="47" t="s">
        <v>164</v>
      </c>
      <c r="C6" s="47" t="s">
        <v>166</v>
      </c>
      <c r="D6" s="48" t="s">
        <v>33</v>
      </c>
      <c r="E6" s="47" t="n">
        <v>1</v>
      </c>
      <c r="F6" s="47" t="n">
        <v>1</v>
      </c>
      <c r="G6" s="47"/>
      <c r="H6" s="49" t="n">
        <v>46282</v>
      </c>
      <c r="I6" s="49" t="n">
        <f aca="false">WORKDAY(H6,E6-1,Holidays!$A$2:$A$40)</f>
        <v>46282</v>
      </c>
      <c r="J6" s="49" t="n">
        <f aca="false">IF('Project Status'!E6="","",'Project Status'!E6)</f>
        <v>46282</v>
      </c>
      <c r="K6" s="49" t="n">
        <f aca="false">IF('Project Status'!F6="","",'Project Status'!F6)</f>
        <v>46282</v>
      </c>
      <c r="L6" s="47" t="str">
        <f aca="false">IF('Project Status'!G6="","",'Project Status'!G6)</f>
        <v>Completed</v>
      </c>
      <c r="M6" s="47" t="n">
        <f aca="false">IF(OR(K6="",I6=""),"",IF(K6&gt;=I6,NETWORKDAYS(I6,K6,Holidays!$A$2:$A$40)-1,-(NETWORKDAYS(K6,I6,Holidays!$A$2:$A$40)-1)))</f>
        <v>0</v>
      </c>
      <c r="N6" s="50" t="str">
        <f aca="true">IF(AND($J6&lt;&gt;"",N$4&gt;=$J6,N$4&lt;=IF($K6="",TODAY(),$K6),N$67=0),"●","")</f>
        <v>●</v>
      </c>
      <c r="O6" s="50" t="str">
        <f aca="true">IF(AND($J6&lt;&gt;"",O$4&gt;=$J6,O$4&lt;=IF($K6="",TODAY(),$K6),O$67=0),"●","")</f>
        <v/>
      </c>
      <c r="P6" s="50" t="str">
        <f aca="true">IF(AND($J6&lt;&gt;"",P$4&gt;=$J6,P$4&lt;=IF($K6="",TODAY(),$K6),P$67=0),"●","")</f>
        <v/>
      </c>
      <c r="Q6" s="50" t="str">
        <f aca="true">IF(AND($J6&lt;&gt;"",Q$4&gt;=$J6,Q$4&lt;=IF($K6="",TODAY(),$K6),Q$67=0),"●","")</f>
        <v/>
      </c>
      <c r="R6" s="50" t="str">
        <f aca="true">IF(AND($J6&lt;&gt;"",R$4&gt;=$J6,R$4&lt;=IF($K6="",TODAY(),$K6),R$67=0),"●","")</f>
        <v/>
      </c>
      <c r="S6" s="50" t="str">
        <f aca="true">IF(AND($J6&lt;&gt;"",S$4&gt;=$J6,S$4&lt;=IF($K6="",TODAY(),$K6),S$67=0),"●","")</f>
        <v/>
      </c>
      <c r="T6" s="50" t="str">
        <f aca="true">IF(AND($J6&lt;&gt;"",T$4&gt;=$J6,T$4&lt;=IF($K6="",TODAY(),$K6),T$67=0),"●","")</f>
        <v/>
      </c>
      <c r="U6" s="50" t="str">
        <f aca="true">IF(AND($J6&lt;&gt;"",U$4&gt;=$J6,U$4&lt;=IF($K6="",TODAY(),$K6),U$67=0),"●","")</f>
        <v/>
      </c>
      <c r="V6" s="50" t="str">
        <f aca="true">IF(AND($J6&lt;&gt;"",V$4&gt;=$J6,V$4&lt;=IF($K6="",TODAY(),$K6),V$67=0),"●","")</f>
        <v/>
      </c>
      <c r="W6" s="50" t="str">
        <f aca="true">IF(AND($J6&lt;&gt;"",W$4&gt;=$J6,W$4&lt;=IF($K6="",TODAY(),$K6),W$67=0),"●","")</f>
        <v/>
      </c>
      <c r="X6" s="50" t="str">
        <f aca="true">IF(AND($J6&lt;&gt;"",X$4&gt;=$J6,X$4&lt;=IF($K6="",TODAY(),$K6),X$67=0),"●","")</f>
        <v/>
      </c>
      <c r="Y6" s="50" t="str">
        <f aca="true">IF(AND($J6&lt;&gt;"",Y$4&gt;=$J6,Y$4&lt;=IF($K6="",TODAY(),$K6),Y$67=0),"●","")</f>
        <v/>
      </c>
      <c r="Z6" s="50" t="str">
        <f aca="true">IF(AND($J6&lt;&gt;"",Z$4&gt;=$J6,Z$4&lt;=IF($K6="",TODAY(),$K6),Z$67=0),"●","")</f>
        <v/>
      </c>
      <c r="AA6" s="50" t="str">
        <f aca="true">IF(AND($J6&lt;&gt;"",AA$4&gt;=$J6,AA$4&lt;=IF($K6="",TODAY(),$K6),AA$67=0),"●","")</f>
        <v/>
      </c>
      <c r="AB6" s="50" t="str">
        <f aca="true">IF(AND($J6&lt;&gt;"",AB$4&gt;=$J6,AB$4&lt;=IF($K6="",TODAY(),$K6),AB$67=0),"●","")</f>
        <v/>
      </c>
      <c r="AC6" s="50" t="str">
        <f aca="true">IF(AND($J6&lt;&gt;"",AC$4&gt;=$J6,AC$4&lt;=IF($K6="",TODAY(),$K6),AC$67=0),"●","")</f>
        <v/>
      </c>
      <c r="AD6" s="50" t="str">
        <f aca="true">IF(AND($J6&lt;&gt;"",AD$4&gt;=$J6,AD$4&lt;=IF($K6="",TODAY(),$K6),AD$67=0),"●","")</f>
        <v/>
      </c>
      <c r="AE6" s="50" t="str">
        <f aca="true">IF(AND($J6&lt;&gt;"",AE$4&gt;=$J6,AE$4&lt;=IF($K6="",TODAY(),$K6),AE$67=0),"●","")</f>
        <v/>
      </c>
      <c r="AF6" s="50" t="str">
        <f aca="true">IF(AND($J6&lt;&gt;"",AF$4&gt;=$J6,AF$4&lt;=IF($K6="",TODAY(),$K6),AF$67=0),"●","")</f>
        <v/>
      </c>
      <c r="AG6" s="50" t="str">
        <f aca="true">IF(AND($J6&lt;&gt;"",AG$4&gt;=$J6,AG$4&lt;=IF($K6="",TODAY(),$K6),AG$67=0),"●","")</f>
        <v/>
      </c>
      <c r="AH6" s="50" t="str">
        <f aca="true">IF(AND($J6&lt;&gt;"",AH$4&gt;=$J6,AH$4&lt;=IF($K6="",TODAY(),$K6),AH$67=0),"●","")</f>
        <v/>
      </c>
      <c r="AI6" s="50" t="str">
        <f aca="true">IF(AND($J6&lt;&gt;"",AI$4&gt;=$J6,AI$4&lt;=IF($K6="",TODAY(),$K6),AI$67=0),"●","")</f>
        <v/>
      </c>
      <c r="AJ6" s="50" t="str">
        <f aca="true">IF(AND($J6&lt;&gt;"",AJ$4&gt;=$J6,AJ$4&lt;=IF($K6="",TODAY(),$K6),AJ$67=0),"●","")</f>
        <v/>
      </c>
      <c r="AK6" s="50" t="str">
        <f aca="true">IF(AND($J6&lt;&gt;"",AK$4&gt;=$J6,AK$4&lt;=IF($K6="",TODAY(),$K6),AK$67=0),"●","")</f>
        <v/>
      </c>
      <c r="AL6" s="50" t="str">
        <f aca="true">IF(AND($J6&lt;&gt;"",AL$4&gt;=$J6,AL$4&lt;=IF($K6="",TODAY(),$K6),AL$67=0),"●","")</f>
        <v/>
      </c>
      <c r="AM6" s="50" t="str">
        <f aca="true">IF(AND($J6&lt;&gt;"",AM$4&gt;=$J6,AM$4&lt;=IF($K6="",TODAY(),$K6),AM$67=0),"●","")</f>
        <v/>
      </c>
      <c r="AN6" s="50" t="str">
        <f aca="true">IF(AND($J6&lt;&gt;"",AN$4&gt;=$J6,AN$4&lt;=IF($K6="",TODAY(),$K6),AN$67=0),"●","")</f>
        <v/>
      </c>
      <c r="AO6" s="50" t="str">
        <f aca="true">IF(AND($J6&lt;&gt;"",AO$4&gt;=$J6,AO$4&lt;=IF($K6="",TODAY(),$K6),AO$67=0),"●","")</f>
        <v/>
      </c>
      <c r="AP6" s="50" t="str">
        <f aca="true">IF(AND($J6&lt;&gt;"",AP$4&gt;=$J6,AP$4&lt;=IF($K6="",TODAY(),$K6),AP$67=0),"●","")</f>
        <v/>
      </c>
      <c r="AQ6" s="50" t="str">
        <f aca="true">IF(AND($J6&lt;&gt;"",AQ$4&gt;=$J6,AQ$4&lt;=IF($K6="",TODAY(),$K6),AQ$67=0),"●","")</f>
        <v/>
      </c>
      <c r="AR6" s="50" t="str">
        <f aca="true">IF(AND($J6&lt;&gt;"",AR$4&gt;=$J6,AR$4&lt;=IF($K6="",TODAY(),$K6),AR$67=0),"●","")</f>
        <v/>
      </c>
      <c r="AS6" s="50" t="str">
        <f aca="true">IF(AND($J6&lt;&gt;"",AS$4&gt;=$J6,AS$4&lt;=IF($K6="",TODAY(),$K6),AS$67=0),"●","")</f>
        <v/>
      </c>
      <c r="AT6" s="50" t="str">
        <f aca="true">IF(AND($J6&lt;&gt;"",AT$4&gt;=$J6,AT$4&lt;=IF($K6="",TODAY(),$K6),AT$67=0),"●","")</f>
        <v/>
      </c>
      <c r="AU6" s="50" t="str">
        <f aca="true">IF(AND($J6&lt;&gt;"",AU$4&gt;=$J6,AU$4&lt;=IF($K6="",TODAY(),$K6),AU$67=0),"●","")</f>
        <v/>
      </c>
      <c r="AV6" s="50" t="str">
        <f aca="true">IF(AND($J6&lt;&gt;"",AV$4&gt;=$J6,AV$4&lt;=IF($K6="",TODAY(),$K6),AV$67=0),"●","")</f>
        <v/>
      </c>
      <c r="AW6" s="50" t="str">
        <f aca="true">IF(AND($J6&lt;&gt;"",AW$4&gt;=$J6,AW$4&lt;=IF($K6="",TODAY(),$K6),AW$67=0),"●","")</f>
        <v/>
      </c>
      <c r="AX6" s="51" t="s">
        <v>167</v>
      </c>
    </row>
    <row r="7" customFormat="false" ht="15" hidden="false" customHeight="false" outlineLevel="0" collapsed="false">
      <c r="A7" s="47" t="s">
        <v>168</v>
      </c>
      <c r="B7" s="47" t="s">
        <v>164</v>
      </c>
      <c r="C7" s="47" t="s">
        <v>169</v>
      </c>
      <c r="D7" s="52" t="s">
        <v>37</v>
      </c>
      <c r="E7" s="47" t="n">
        <v>1</v>
      </c>
      <c r="F7" s="47" t="n">
        <v>1</v>
      </c>
      <c r="G7" s="47"/>
      <c r="H7" s="49" t="n">
        <v>46282</v>
      </c>
      <c r="I7" s="49" t="n">
        <f aca="false">WORKDAY(H7,E7-1,Holidays!$A$2:$A$40)</f>
        <v>46282</v>
      </c>
      <c r="J7" s="49" t="n">
        <f aca="false">IF('Project Status'!E7="","",'Project Status'!E7)</f>
        <v>46282</v>
      </c>
      <c r="K7" s="49" t="n">
        <f aca="false">IF('Project Status'!F7="","",'Project Status'!F7)</f>
        <v>46282</v>
      </c>
      <c r="L7" s="47" t="str">
        <f aca="false">IF('Project Status'!G7="","",'Project Status'!G7)</f>
        <v>Completed</v>
      </c>
      <c r="M7" s="47" t="n">
        <f aca="false">IF(OR(K7="",I7=""),"",IF(K7&gt;=I7,NETWORKDAYS(I7,K7,Holidays!$A$2:$A$40)-1,-(NETWORKDAYS(K7,I7,Holidays!$A$2:$A$40)-1)))</f>
        <v>0</v>
      </c>
      <c r="N7" s="50" t="str">
        <f aca="true">IF(AND($J7&lt;&gt;"",N$4&gt;=$J7,N$4&lt;=IF($K7="",TODAY(),$K7),N$67=0),"●","")</f>
        <v>●</v>
      </c>
      <c r="O7" s="50" t="str">
        <f aca="true">IF(AND($J7&lt;&gt;"",O$4&gt;=$J7,O$4&lt;=IF($K7="",TODAY(),$K7),O$67=0),"●","")</f>
        <v/>
      </c>
      <c r="P7" s="50" t="str">
        <f aca="true">IF(AND($J7&lt;&gt;"",P$4&gt;=$J7,P$4&lt;=IF($K7="",TODAY(),$K7),P$67=0),"●","")</f>
        <v/>
      </c>
      <c r="Q7" s="50" t="str">
        <f aca="true">IF(AND($J7&lt;&gt;"",Q$4&gt;=$J7,Q$4&lt;=IF($K7="",TODAY(),$K7),Q$67=0),"●","")</f>
        <v/>
      </c>
      <c r="R7" s="50" t="str">
        <f aca="true">IF(AND($J7&lt;&gt;"",R$4&gt;=$J7,R$4&lt;=IF($K7="",TODAY(),$K7),R$67=0),"●","")</f>
        <v/>
      </c>
      <c r="S7" s="50" t="str">
        <f aca="true">IF(AND($J7&lt;&gt;"",S$4&gt;=$J7,S$4&lt;=IF($K7="",TODAY(),$K7),S$67=0),"●","")</f>
        <v/>
      </c>
      <c r="T7" s="50" t="str">
        <f aca="true">IF(AND($J7&lt;&gt;"",T$4&gt;=$J7,T$4&lt;=IF($K7="",TODAY(),$K7),T$67=0),"●","")</f>
        <v/>
      </c>
      <c r="U7" s="50" t="str">
        <f aca="true">IF(AND($J7&lt;&gt;"",U$4&gt;=$J7,U$4&lt;=IF($K7="",TODAY(),$K7),U$67=0),"●","")</f>
        <v/>
      </c>
      <c r="V7" s="50" t="str">
        <f aca="true">IF(AND($J7&lt;&gt;"",V$4&gt;=$J7,V$4&lt;=IF($K7="",TODAY(),$K7),V$67=0),"●","")</f>
        <v/>
      </c>
      <c r="W7" s="50" t="str">
        <f aca="true">IF(AND($J7&lt;&gt;"",W$4&gt;=$J7,W$4&lt;=IF($K7="",TODAY(),$K7),W$67=0),"●","")</f>
        <v/>
      </c>
      <c r="X7" s="50" t="str">
        <f aca="true">IF(AND($J7&lt;&gt;"",X$4&gt;=$J7,X$4&lt;=IF($K7="",TODAY(),$K7),X$67=0),"●","")</f>
        <v/>
      </c>
      <c r="Y7" s="50" t="str">
        <f aca="true">IF(AND($J7&lt;&gt;"",Y$4&gt;=$J7,Y$4&lt;=IF($K7="",TODAY(),$K7),Y$67=0),"●","")</f>
        <v/>
      </c>
      <c r="Z7" s="50" t="str">
        <f aca="true">IF(AND($J7&lt;&gt;"",Z$4&gt;=$J7,Z$4&lt;=IF($K7="",TODAY(),$K7),Z$67=0),"●","")</f>
        <v/>
      </c>
      <c r="AA7" s="50" t="str">
        <f aca="true">IF(AND($J7&lt;&gt;"",AA$4&gt;=$J7,AA$4&lt;=IF($K7="",TODAY(),$K7),AA$67=0),"●","")</f>
        <v/>
      </c>
      <c r="AB7" s="50" t="str">
        <f aca="true">IF(AND($J7&lt;&gt;"",AB$4&gt;=$J7,AB$4&lt;=IF($K7="",TODAY(),$K7),AB$67=0),"●","")</f>
        <v/>
      </c>
      <c r="AC7" s="50" t="str">
        <f aca="true">IF(AND($J7&lt;&gt;"",AC$4&gt;=$J7,AC$4&lt;=IF($K7="",TODAY(),$K7),AC$67=0),"●","")</f>
        <v/>
      </c>
      <c r="AD7" s="50" t="str">
        <f aca="true">IF(AND($J7&lt;&gt;"",AD$4&gt;=$J7,AD$4&lt;=IF($K7="",TODAY(),$K7),AD$67=0),"●","")</f>
        <v/>
      </c>
      <c r="AE7" s="50" t="str">
        <f aca="true">IF(AND($J7&lt;&gt;"",AE$4&gt;=$J7,AE$4&lt;=IF($K7="",TODAY(),$K7),AE$67=0),"●","")</f>
        <v/>
      </c>
      <c r="AF7" s="50" t="str">
        <f aca="true">IF(AND($J7&lt;&gt;"",AF$4&gt;=$J7,AF$4&lt;=IF($K7="",TODAY(),$K7),AF$67=0),"●","")</f>
        <v/>
      </c>
      <c r="AG7" s="50" t="str">
        <f aca="true">IF(AND($J7&lt;&gt;"",AG$4&gt;=$J7,AG$4&lt;=IF($K7="",TODAY(),$K7),AG$67=0),"●","")</f>
        <v/>
      </c>
      <c r="AH7" s="50" t="str">
        <f aca="true">IF(AND($J7&lt;&gt;"",AH$4&gt;=$J7,AH$4&lt;=IF($K7="",TODAY(),$K7),AH$67=0),"●","")</f>
        <v/>
      </c>
      <c r="AI7" s="50" t="str">
        <f aca="true">IF(AND($J7&lt;&gt;"",AI$4&gt;=$J7,AI$4&lt;=IF($K7="",TODAY(),$K7),AI$67=0),"●","")</f>
        <v/>
      </c>
      <c r="AJ7" s="50" t="str">
        <f aca="true">IF(AND($J7&lt;&gt;"",AJ$4&gt;=$J7,AJ$4&lt;=IF($K7="",TODAY(),$K7),AJ$67=0),"●","")</f>
        <v/>
      </c>
      <c r="AK7" s="50" t="str">
        <f aca="true">IF(AND($J7&lt;&gt;"",AK$4&gt;=$J7,AK$4&lt;=IF($K7="",TODAY(),$K7),AK$67=0),"●","")</f>
        <v/>
      </c>
      <c r="AL7" s="50" t="str">
        <f aca="true">IF(AND($J7&lt;&gt;"",AL$4&gt;=$J7,AL$4&lt;=IF($K7="",TODAY(),$K7),AL$67=0),"●","")</f>
        <v/>
      </c>
      <c r="AM7" s="50" t="str">
        <f aca="true">IF(AND($J7&lt;&gt;"",AM$4&gt;=$J7,AM$4&lt;=IF($K7="",TODAY(),$K7),AM$67=0),"●","")</f>
        <v/>
      </c>
      <c r="AN7" s="50" t="str">
        <f aca="true">IF(AND($J7&lt;&gt;"",AN$4&gt;=$J7,AN$4&lt;=IF($K7="",TODAY(),$K7),AN$67=0),"●","")</f>
        <v/>
      </c>
      <c r="AO7" s="50" t="str">
        <f aca="true">IF(AND($J7&lt;&gt;"",AO$4&gt;=$J7,AO$4&lt;=IF($K7="",TODAY(),$K7),AO$67=0),"●","")</f>
        <v/>
      </c>
      <c r="AP7" s="50" t="str">
        <f aca="true">IF(AND($J7&lt;&gt;"",AP$4&gt;=$J7,AP$4&lt;=IF($K7="",TODAY(),$K7),AP$67=0),"●","")</f>
        <v/>
      </c>
      <c r="AQ7" s="50" t="str">
        <f aca="true">IF(AND($J7&lt;&gt;"",AQ$4&gt;=$J7,AQ$4&lt;=IF($K7="",TODAY(),$K7),AQ$67=0),"●","")</f>
        <v/>
      </c>
      <c r="AR7" s="50" t="str">
        <f aca="true">IF(AND($J7&lt;&gt;"",AR$4&gt;=$J7,AR$4&lt;=IF($K7="",TODAY(),$K7),AR$67=0),"●","")</f>
        <v/>
      </c>
      <c r="AS7" s="50" t="str">
        <f aca="true">IF(AND($J7&lt;&gt;"",AS$4&gt;=$J7,AS$4&lt;=IF($K7="",TODAY(),$K7),AS$67=0),"●","")</f>
        <v/>
      </c>
      <c r="AT7" s="50" t="str">
        <f aca="true">IF(AND($J7&lt;&gt;"",AT$4&gt;=$J7,AT$4&lt;=IF($K7="",TODAY(),$K7),AT$67=0),"●","")</f>
        <v/>
      </c>
      <c r="AU7" s="50" t="str">
        <f aca="true">IF(AND($J7&lt;&gt;"",AU$4&gt;=$J7,AU$4&lt;=IF($K7="",TODAY(),$K7),AU$67=0),"●","")</f>
        <v/>
      </c>
      <c r="AV7" s="50" t="str">
        <f aca="true">IF(AND($J7&lt;&gt;"",AV$4&gt;=$J7,AV$4&lt;=IF($K7="",TODAY(),$K7),AV$67=0),"●","")</f>
        <v/>
      </c>
      <c r="AW7" s="50" t="str">
        <f aca="true">IF(AND($J7&lt;&gt;"",AW$4&gt;=$J7,AW$4&lt;=IF($K7="",TODAY(),$K7),AW$67=0),"●","")</f>
        <v/>
      </c>
      <c r="AX7" s="51" t="s">
        <v>170</v>
      </c>
    </row>
    <row r="8" customFormat="false" ht="15" hidden="false" customHeight="false" outlineLevel="0" collapsed="false">
      <c r="A8" s="47" t="s">
        <v>171</v>
      </c>
      <c r="B8" s="47" t="s">
        <v>164</v>
      </c>
      <c r="C8" s="47" t="s">
        <v>172</v>
      </c>
      <c r="D8" s="53" t="s">
        <v>39</v>
      </c>
      <c r="E8" s="47" t="n">
        <v>13</v>
      </c>
      <c r="F8" s="47" t="n">
        <v>13</v>
      </c>
      <c r="G8" s="47"/>
      <c r="H8" s="49" t="n">
        <v>46286</v>
      </c>
      <c r="I8" s="49" t="n">
        <f aca="false">WORKDAY(H8,E8-1,Holidays!$A$2:$A$40)</f>
        <v>46303</v>
      </c>
      <c r="J8" s="49" t="n">
        <f aca="false">IF('Project Status'!E8="","",'Project Status'!E8)</f>
        <v>46286</v>
      </c>
      <c r="K8" s="49" t="n">
        <f aca="false">IF('Project Status'!F8="","",'Project Status'!F8)</f>
        <v>46303</v>
      </c>
      <c r="L8" s="47" t="str">
        <f aca="false">IF('Project Status'!G8="","",'Project Status'!G8)</f>
        <v>Completed</v>
      </c>
      <c r="M8" s="47" t="n">
        <f aca="false">IF(OR(K8="",I8=""),"",IF(K8&gt;=I8,NETWORKDAYS(I8,K8,Holidays!$A$2:$A$40)-1,-(NETWORKDAYS(K8,I8,Holidays!$A$2:$A$40)-1)))</f>
        <v>0</v>
      </c>
      <c r="N8" s="50" t="str">
        <f aca="true">IF(AND($J8&lt;&gt;"",N$4&gt;=$J8,N$4&lt;=IF($K8="",TODAY(),$K8),N$67=0),"●","")</f>
        <v/>
      </c>
      <c r="O8" s="50" t="str">
        <f aca="true">IF(AND($J8&lt;&gt;"",O$4&gt;=$J8,O$4&lt;=IF($K8="",TODAY(),$K8),O$67=0),"●","")</f>
        <v/>
      </c>
      <c r="P8" s="50" t="str">
        <f aca="true">IF(AND($J8&lt;&gt;"",P$4&gt;=$J8,P$4&lt;=IF($K8="",TODAY(),$K8),P$67=0),"●","")</f>
        <v>●</v>
      </c>
      <c r="Q8" s="50" t="str">
        <f aca="true">IF(AND($J8&lt;&gt;"",Q$4&gt;=$J8,Q$4&lt;=IF($K8="",TODAY(),$K8),Q$67=0),"●","")</f>
        <v>●</v>
      </c>
      <c r="R8" s="50" t="str">
        <f aca="true">IF(AND($J8&lt;&gt;"",R$4&gt;=$J8,R$4&lt;=IF($K8="",TODAY(),$K8),R$67=0),"●","")</f>
        <v>●</v>
      </c>
      <c r="S8" s="50" t="str">
        <f aca="true">IF(AND($J8&lt;&gt;"",S$4&gt;=$J8,S$4&lt;=IF($K8="",TODAY(),$K8),S$67=0),"●","")</f>
        <v/>
      </c>
      <c r="T8" s="50" t="str">
        <f aca="true">IF(AND($J8&lt;&gt;"",T$4&gt;=$J8,T$4&lt;=IF($K8="",TODAY(),$K8),T$67=0),"●","")</f>
        <v>●</v>
      </c>
      <c r="U8" s="50" t="str">
        <f aca="true">IF(AND($J8&lt;&gt;"",U$4&gt;=$J8,U$4&lt;=IF($K8="",TODAY(),$K8),U$67=0),"●","")</f>
        <v>●</v>
      </c>
      <c r="V8" s="50" t="str">
        <f aca="true">IF(AND($J8&lt;&gt;"",V$4&gt;=$J8,V$4&lt;=IF($K8="",TODAY(),$K8),V$67=0),"●","")</f>
        <v>●</v>
      </c>
      <c r="W8" s="50" t="str">
        <f aca="true">IF(AND($J8&lt;&gt;"",W$4&gt;=$J8,W$4&lt;=IF($K8="",TODAY(),$K8),W$67=0),"●","")</f>
        <v>●</v>
      </c>
      <c r="X8" s="50" t="str">
        <f aca="true">IF(AND($J8&lt;&gt;"",X$4&gt;=$J8,X$4&lt;=IF($K8="",TODAY(),$K8),X$67=0),"●","")</f>
        <v>●</v>
      </c>
      <c r="Y8" s="50" t="str">
        <f aca="true">IF(AND($J8&lt;&gt;"",Y$4&gt;=$J8,Y$4&lt;=IF($K8="",TODAY(),$K8),Y$67=0),"●","")</f>
        <v>●</v>
      </c>
      <c r="Z8" s="50" t="str">
        <f aca="true">IF(AND($J8&lt;&gt;"",Z$4&gt;=$J8,Z$4&lt;=IF($K8="",TODAY(),$K8),Z$67=0),"●","")</f>
        <v>●</v>
      </c>
      <c r="AA8" s="50" t="str">
        <f aca="true">IF(AND($J8&lt;&gt;"",AA$4&gt;=$J8,AA$4&lt;=IF($K8="",TODAY(),$K8),AA$67=0),"●","")</f>
        <v>●</v>
      </c>
      <c r="AB8" s="50" t="str">
        <f aca="true">IF(AND($J8&lt;&gt;"",AB$4&gt;=$J8,AB$4&lt;=IF($K8="",TODAY(),$K8),AB$67=0),"●","")</f>
        <v>●</v>
      </c>
      <c r="AC8" s="50" t="str">
        <f aca="true">IF(AND($J8&lt;&gt;"",AC$4&gt;=$J8,AC$4&lt;=IF($K8="",TODAY(),$K8),AC$67=0),"●","")</f>
        <v>●</v>
      </c>
      <c r="AD8" s="50" t="str">
        <f aca="true">IF(AND($J8&lt;&gt;"",AD$4&gt;=$J8,AD$4&lt;=IF($K8="",TODAY(),$K8),AD$67=0),"●","")</f>
        <v/>
      </c>
      <c r="AE8" s="50" t="str">
        <f aca="true">IF(AND($J8&lt;&gt;"",AE$4&gt;=$J8,AE$4&lt;=IF($K8="",TODAY(),$K8),AE$67=0),"●","")</f>
        <v/>
      </c>
      <c r="AF8" s="50" t="str">
        <f aca="true">IF(AND($J8&lt;&gt;"",AF$4&gt;=$J8,AF$4&lt;=IF($K8="",TODAY(),$K8),AF$67=0),"●","")</f>
        <v/>
      </c>
      <c r="AG8" s="50" t="str">
        <f aca="true">IF(AND($J8&lt;&gt;"",AG$4&gt;=$J8,AG$4&lt;=IF($K8="",TODAY(),$K8),AG$67=0),"●","")</f>
        <v/>
      </c>
      <c r="AH8" s="50" t="str">
        <f aca="true">IF(AND($J8&lt;&gt;"",AH$4&gt;=$J8,AH$4&lt;=IF($K8="",TODAY(),$K8),AH$67=0),"●","")</f>
        <v/>
      </c>
      <c r="AI8" s="50" t="str">
        <f aca="true">IF(AND($J8&lt;&gt;"",AI$4&gt;=$J8,AI$4&lt;=IF($K8="",TODAY(),$K8),AI$67=0),"●","")</f>
        <v/>
      </c>
      <c r="AJ8" s="50" t="str">
        <f aca="true">IF(AND($J8&lt;&gt;"",AJ$4&gt;=$J8,AJ$4&lt;=IF($K8="",TODAY(),$K8),AJ$67=0),"●","")</f>
        <v/>
      </c>
      <c r="AK8" s="50" t="str">
        <f aca="true">IF(AND($J8&lt;&gt;"",AK$4&gt;=$J8,AK$4&lt;=IF($K8="",TODAY(),$K8),AK$67=0),"●","")</f>
        <v/>
      </c>
      <c r="AL8" s="50" t="str">
        <f aca="true">IF(AND($J8&lt;&gt;"",AL$4&gt;=$J8,AL$4&lt;=IF($K8="",TODAY(),$K8),AL$67=0),"●","")</f>
        <v/>
      </c>
      <c r="AM8" s="50" t="str">
        <f aca="true">IF(AND($J8&lt;&gt;"",AM$4&gt;=$J8,AM$4&lt;=IF($K8="",TODAY(),$K8),AM$67=0),"●","")</f>
        <v/>
      </c>
      <c r="AN8" s="50" t="str">
        <f aca="true">IF(AND($J8&lt;&gt;"",AN$4&gt;=$J8,AN$4&lt;=IF($K8="",TODAY(),$K8),AN$67=0),"●","")</f>
        <v/>
      </c>
      <c r="AO8" s="50" t="str">
        <f aca="true">IF(AND($J8&lt;&gt;"",AO$4&gt;=$J8,AO$4&lt;=IF($K8="",TODAY(),$K8),AO$67=0),"●","")</f>
        <v/>
      </c>
      <c r="AP8" s="50" t="str">
        <f aca="true">IF(AND($J8&lt;&gt;"",AP$4&gt;=$J8,AP$4&lt;=IF($K8="",TODAY(),$K8),AP$67=0),"●","")</f>
        <v/>
      </c>
      <c r="AQ8" s="50" t="str">
        <f aca="true">IF(AND($J8&lt;&gt;"",AQ$4&gt;=$J8,AQ$4&lt;=IF($K8="",TODAY(),$K8),AQ$67=0),"●","")</f>
        <v/>
      </c>
      <c r="AR8" s="50" t="str">
        <f aca="true">IF(AND($J8&lt;&gt;"",AR$4&gt;=$J8,AR$4&lt;=IF($K8="",TODAY(),$K8),AR$67=0),"●","")</f>
        <v/>
      </c>
      <c r="AS8" s="50" t="str">
        <f aca="true">IF(AND($J8&lt;&gt;"",AS$4&gt;=$J8,AS$4&lt;=IF($K8="",TODAY(),$K8),AS$67=0),"●","")</f>
        <v/>
      </c>
      <c r="AT8" s="50" t="str">
        <f aca="true">IF(AND($J8&lt;&gt;"",AT$4&gt;=$J8,AT$4&lt;=IF($K8="",TODAY(),$K8),AT$67=0),"●","")</f>
        <v/>
      </c>
      <c r="AU8" s="50" t="str">
        <f aca="true">IF(AND($J8&lt;&gt;"",AU$4&gt;=$J8,AU$4&lt;=IF($K8="",TODAY(),$K8),AU$67=0),"●","")</f>
        <v/>
      </c>
      <c r="AV8" s="50" t="str">
        <f aca="true">IF(AND($J8&lt;&gt;"",AV$4&gt;=$J8,AV$4&lt;=IF($K8="",TODAY(),$K8),AV$67=0),"●","")</f>
        <v/>
      </c>
      <c r="AW8" s="50" t="str">
        <f aca="true">IF(AND($J8&lt;&gt;"",AW$4&gt;=$J8,AW$4&lt;=IF($K8="",TODAY(),$K8),AW$67=0),"●","")</f>
        <v/>
      </c>
      <c r="AX8" s="51" t="s">
        <v>173</v>
      </c>
    </row>
    <row r="9" customFormat="false" ht="15" hidden="false" customHeight="false" outlineLevel="0" collapsed="false">
      <c r="A9" s="47" t="s">
        <v>174</v>
      </c>
      <c r="B9" s="47" t="s">
        <v>164</v>
      </c>
      <c r="C9" s="47" t="s">
        <v>175</v>
      </c>
      <c r="D9" s="53" t="s">
        <v>39</v>
      </c>
      <c r="E9" s="47" t="n">
        <v>1</v>
      </c>
      <c r="F9" s="47" t="n">
        <v>1</v>
      </c>
      <c r="G9" s="47"/>
      <c r="H9" s="49" t="n">
        <v>46286</v>
      </c>
      <c r="I9" s="49" t="n">
        <f aca="false">WORKDAY(H9,E9-1,Holidays!$A$2:$A$40)</f>
        <v>46286</v>
      </c>
      <c r="J9" s="49" t="n">
        <f aca="false">IF('Project Status'!E9="","",'Project Status'!E9)</f>
        <v>46286</v>
      </c>
      <c r="K9" s="49" t="n">
        <f aca="false">IF('Project Status'!F9="","",'Project Status'!F9)</f>
        <v>46286</v>
      </c>
      <c r="L9" s="47" t="str">
        <f aca="false">IF('Project Status'!G9="","",'Project Status'!G9)</f>
        <v>Completed</v>
      </c>
      <c r="M9" s="47" t="n">
        <f aca="false">IF(OR(K9="",I9=""),"",IF(K9&gt;=I9,NETWORKDAYS(I9,K9,Holidays!$A$2:$A$40)-1,-(NETWORKDAYS(K9,I9,Holidays!$A$2:$A$40)-1)))</f>
        <v>0</v>
      </c>
      <c r="N9" s="50" t="str">
        <f aca="true">IF(AND($J9&lt;&gt;"",N$4&gt;=$J9,N$4&lt;=IF($K9="",TODAY(),$K9),N$67=0),"●","")</f>
        <v/>
      </c>
      <c r="O9" s="50" t="str">
        <f aca="true">IF(AND($J9&lt;&gt;"",O$4&gt;=$J9,O$4&lt;=IF($K9="",TODAY(),$K9),O$67=0),"●","")</f>
        <v/>
      </c>
      <c r="P9" s="50" t="str">
        <f aca="true">IF(AND($J9&lt;&gt;"",P$4&gt;=$J9,P$4&lt;=IF($K9="",TODAY(),$K9),P$67=0),"●","")</f>
        <v>●</v>
      </c>
      <c r="Q9" s="50" t="str">
        <f aca="true">IF(AND($J9&lt;&gt;"",Q$4&gt;=$J9,Q$4&lt;=IF($K9="",TODAY(),$K9),Q$67=0),"●","")</f>
        <v/>
      </c>
      <c r="R9" s="50" t="str">
        <f aca="true">IF(AND($J9&lt;&gt;"",R$4&gt;=$J9,R$4&lt;=IF($K9="",TODAY(),$K9),R$67=0),"●","")</f>
        <v/>
      </c>
      <c r="S9" s="50" t="str">
        <f aca="true">IF(AND($J9&lt;&gt;"",S$4&gt;=$J9,S$4&lt;=IF($K9="",TODAY(),$K9),S$67=0),"●","")</f>
        <v/>
      </c>
      <c r="T9" s="50" t="str">
        <f aca="true">IF(AND($J9&lt;&gt;"",T$4&gt;=$J9,T$4&lt;=IF($K9="",TODAY(),$K9),T$67=0),"●","")</f>
        <v/>
      </c>
      <c r="U9" s="50" t="str">
        <f aca="true">IF(AND($J9&lt;&gt;"",U$4&gt;=$J9,U$4&lt;=IF($K9="",TODAY(),$K9),U$67=0),"●","")</f>
        <v/>
      </c>
      <c r="V9" s="50" t="str">
        <f aca="true">IF(AND($J9&lt;&gt;"",V$4&gt;=$J9,V$4&lt;=IF($K9="",TODAY(),$K9),V$67=0),"●","")</f>
        <v/>
      </c>
      <c r="W9" s="50" t="str">
        <f aca="true">IF(AND($J9&lt;&gt;"",W$4&gt;=$J9,W$4&lt;=IF($K9="",TODAY(),$K9),W$67=0),"●","")</f>
        <v/>
      </c>
      <c r="X9" s="50" t="str">
        <f aca="true">IF(AND($J9&lt;&gt;"",X$4&gt;=$J9,X$4&lt;=IF($K9="",TODAY(),$K9),X$67=0),"●","")</f>
        <v/>
      </c>
      <c r="Y9" s="50" t="str">
        <f aca="true">IF(AND($J9&lt;&gt;"",Y$4&gt;=$J9,Y$4&lt;=IF($K9="",TODAY(),$K9),Y$67=0),"●","")</f>
        <v/>
      </c>
      <c r="Z9" s="50" t="str">
        <f aca="true">IF(AND($J9&lt;&gt;"",Z$4&gt;=$J9,Z$4&lt;=IF($K9="",TODAY(),$K9),Z$67=0),"●","")</f>
        <v/>
      </c>
      <c r="AA9" s="50" t="str">
        <f aca="true">IF(AND($J9&lt;&gt;"",AA$4&gt;=$J9,AA$4&lt;=IF($K9="",TODAY(),$K9),AA$67=0),"●","")</f>
        <v/>
      </c>
      <c r="AB9" s="50" t="str">
        <f aca="true">IF(AND($J9&lt;&gt;"",AB$4&gt;=$J9,AB$4&lt;=IF($K9="",TODAY(),$K9),AB$67=0),"●","")</f>
        <v/>
      </c>
      <c r="AC9" s="50" t="str">
        <f aca="true">IF(AND($J9&lt;&gt;"",AC$4&gt;=$J9,AC$4&lt;=IF($K9="",TODAY(),$K9),AC$67=0),"●","")</f>
        <v/>
      </c>
      <c r="AD9" s="50" t="str">
        <f aca="true">IF(AND($J9&lt;&gt;"",AD$4&gt;=$J9,AD$4&lt;=IF($K9="",TODAY(),$K9),AD$67=0),"●","")</f>
        <v/>
      </c>
      <c r="AE9" s="50" t="str">
        <f aca="true">IF(AND($J9&lt;&gt;"",AE$4&gt;=$J9,AE$4&lt;=IF($K9="",TODAY(),$K9),AE$67=0),"●","")</f>
        <v/>
      </c>
      <c r="AF9" s="50" t="str">
        <f aca="true">IF(AND($J9&lt;&gt;"",AF$4&gt;=$J9,AF$4&lt;=IF($K9="",TODAY(),$K9),AF$67=0),"●","")</f>
        <v/>
      </c>
      <c r="AG9" s="50" t="str">
        <f aca="true">IF(AND($J9&lt;&gt;"",AG$4&gt;=$J9,AG$4&lt;=IF($K9="",TODAY(),$K9),AG$67=0),"●","")</f>
        <v/>
      </c>
      <c r="AH9" s="50" t="str">
        <f aca="true">IF(AND($J9&lt;&gt;"",AH$4&gt;=$J9,AH$4&lt;=IF($K9="",TODAY(),$K9),AH$67=0),"●","")</f>
        <v/>
      </c>
      <c r="AI9" s="50" t="str">
        <f aca="true">IF(AND($J9&lt;&gt;"",AI$4&gt;=$J9,AI$4&lt;=IF($K9="",TODAY(),$K9),AI$67=0),"●","")</f>
        <v/>
      </c>
      <c r="AJ9" s="50" t="str">
        <f aca="true">IF(AND($J9&lt;&gt;"",AJ$4&gt;=$J9,AJ$4&lt;=IF($K9="",TODAY(),$K9),AJ$67=0),"●","")</f>
        <v/>
      </c>
      <c r="AK9" s="50" t="str">
        <f aca="true">IF(AND($J9&lt;&gt;"",AK$4&gt;=$J9,AK$4&lt;=IF($K9="",TODAY(),$K9),AK$67=0),"●","")</f>
        <v/>
      </c>
      <c r="AL9" s="50" t="str">
        <f aca="true">IF(AND($J9&lt;&gt;"",AL$4&gt;=$J9,AL$4&lt;=IF($K9="",TODAY(),$K9),AL$67=0),"●","")</f>
        <v/>
      </c>
      <c r="AM9" s="50" t="str">
        <f aca="true">IF(AND($J9&lt;&gt;"",AM$4&gt;=$J9,AM$4&lt;=IF($K9="",TODAY(),$K9),AM$67=0),"●","")</f>
        <v/>
      </c>
      <c r="AN9" s="50" t="str">
        <f aca="true">IF(AND($J9&lt;&gt;"",AN$4&gt;=$J9,AN$4&lt;=IF($K9="",TODAY(),$K9),AN$67=0),"●","")</f>
        <v/>
      </c>
      <c r="AO9" s="50" t="str">
        <f aca="true">IF(AND($J9&lt;&gt;"",AO$4&gt;=$J9,AO$4&lt;=IF($K9="",TODAY(),$K9),AO$67=0),"●","")</f>
        <v/>
      </c>
      <c r="AP9" s="50" t="str">
        <f aca="true">IF(AND($J9&lt;&gt;"",AP$4&gt;=$J9,AP$4&lt;=IF($K9="",TODAY(),$K9),AP$67=0),"●","")</f>
        <v/>
      </c>
      <c r="AQ9" s="50" t="str">
        <f aca="true">IF(AND($J9&lt;&gt;"",AQ$4&gt;=$J9,AQ$4&lt;=IF($K9="",TODAY(),$K9),AQ$67=0),"●","")</f>
        <v/>
      </c>
      <c r="AR9" s="50" t="str">
        <f aca="true">IF(AND($J9&lt;&gt;"",AR$4&gt;=$J9,AR$4&lt;=IF($K9="",TODAY(),$K9),AR$67=0),"●","")</f>
        <v/>
      </c>
      <c r="AS9" s="50" t="str">
        <f aca="true">IF(AND($J9&lt;&gt;"",AS$4&gt;=$J9,AS$4&lt;=IF($K9="",TODAY(),$K9),AS$67=0),"●","")</f>
        <v/>
      </c>
      <c r="AT9" s="50" t="str">
        <f aca="true">IF(AND($J9&lt;&gt;"",AT$4&gt;=$J9,AT$4&lt;=IF($K9="",TODAY(),$K9),AT$67=0),"●","")</f>
        <v/>
      </c>
      <c r="AU9" s="50" t="str">
        <f aca="true">IF(AND($J9&lt;&gt;"",AU$4&gt;=$J9,AU$4&lt;=IF($K9="",TODAY(),$K9),AU$67=0),"●","")</f>
        <v/>
      </c>
      <c r="AV9" s="50" t="str">
        <f aca="true">IF(AND($J9&lt;&gt;"",AV$4&gt;=$J9,AV$4&lt;=IF($K9="",TODAY(),$K9),AV$67=0),"●","")</f>
        <v/>
      </c>
      <c r="AW9" s="50" t="str">
        <f aca="true">IF(AND($J9&lt;&gt;"",AW$4&gt;=$J9,AW$4&lt;=IF($K9="",TODAY(),$K9),AW$67=0),"●","")</f>
        <v/>
      </c>
      <c r="AX9" s="51" t="s">
        <v>176</v>
      </c>
    </row>
    <row r="10" customFormat="false" ht="15" hidden="false" customHeight="false" outlineLevel="0" collapsed="false">
      <c r="A10" s="47" t="s">
        <v>177</v>
      </c>
      <c r="B10" s="47" t="s">
        <v>164</v>
      </c>
      <c r="C10" s="47" t="s">
        <v>178</v>
      </c>
      <c r="D10" s="54" t="s">
        <v>43</v>
      </c>
      <c r="E10" s="47" t="n">
        <v>1</v>
      </c>
      <c r="F10" s="47" t="n">
        <v>1</v>
      </c>
      <c r="G10" s="47"/>
      <c r="H10" s="49" t="n">
        <v>46293</v>
      </c>
      <c r="I10" s="49" t="n">
        <f aca="false">WORKDAY(H10,E10-1,Holidays!$A$2:$A$40)</f>
        <v>46293</v>
      </c>
      <c r="J10" s="49" t="n">
        <f aca="false">IF('Project Status'!E10="","",'Project Status'!E10)</f>
        <v>46293</v>
      </c>
      <c r="K10" s="49" t="n">
        <f aca="false">IF('Project Status'!F10="","",'Project Status'!F10)</f>
        <v>46293</v>
      </c>
      <c r="L10" s="47" t="str">
        <f aca="false">IF('Project Status'!G10="","",'Project Status'!G10)</f>
        <v>Completed</v>
      </c>
      <c r="M10" s="47" t="n">
        <f aca="false">IF(OR(K10="",I10=""),"",IF(K10&gt;=I10,NETWORKDAYS(I10,K10,Holidays!$A$2:$A$40)-1,-(NETWORKDAYS(K10,I10,Holidays!$A$2:$A$40)-1)))</f>
        <v>0</v>
      </c>
      <c r="N10" s="50" t="str">
        <f aca="true">IF(AND($J10&lt;&gt;"",N$4&gt;=$J10,N$4&lt;=IF($K10="",TODAY(),$K10),N$67=0),"●","")</f>
        <v/>
      </c>
      <c r="O10" s="50" t="str">
        <f aca="true">IF(AND($J10&lt;&gt;"",O$4&gt;=$J10,O$4&lt;=IF($K10="",TODAY(),$K10),O$67=0),"●","")</f>
        <v/>
      </c>
      <c r="P10" s="50" t="str">
        <f aca="true">IF(AND($J10&lt;&gt;"",P$4&gt;=$J10,P$4&lt;=IF($K10="",TODAY(),$K10),P$67=0),"●","")</f>
        <v/>
      </c>
      <c r="Q10" s="50" t="str">
        <f aca="true">IF(AND($J10&lt;&gt;"",Q$4&gt;=$J10,Q$4&lt;=IF($K10="",TODAY(),$K10),Q$67=0),"●","")</f>
        <v/>
      </c>
      <c r="R10" s="50" t="str">
        <f aca="true">IF(AND($J10&lt;&gt;"",R$4&gt;=$J10,R$4&lt;=IF($K10="",TODAY(),$K10),R$67=0),"●","")</f>
        <v/>
      </c>
      <c r="S10" s="50" t="str">
        <f aca="true">IF(AND($J10&lt;&gt;"",S$4&gt;=$J10,S$4&lt;=IF($K10="",TODAY(),$K10),S$67=0),"●","")</f>
        <v/>
      </c>
      <c r="T10" s="50" t="str">
        <f aca="true">IF(AND($J10&lt;&gt;"",T$4&gt;=$J10,T$4&lt;=IF($K10="",TODAY(),$K10),T$67=0),"●","")</f>
        <v/>
      </c>
      <c r="U10" s="50" t="str">
        <f aca="true">IF(AND($J10&lt;&gt;"",U$4&gt;=$J10,U$4&lt;=IF($K10="",TODAY(),$K10),U$67=0),"●","")</f>
        <v>●</v>
      </c>
      <c r="V10" s="50" t="str">
        <f aca="true">IF(AND($J10&lt;&gt;"",V$4&gt;=$J10,V$4&lt;=IF($K10="",TODAY(),$K10),V$67=0),"●","")</f>
        <v/>
      </c>
      <c r="W10" s="50" t="str">
        <f aca="true">IF(AND($J10&lt;&gt;"",W$4&gt;=$J10,W$4&lt;=IF($K10="",TODAY(),$K10),W$67=0),"●","")</f>
        <v/>
      </c>
      <c r="X10" s="50" t="str">
        <f aca="true">IF(AND($J10&lt;&gt;"",X$4&gt;=$J10,X$4&lt;=IF($K10="",TODAY(),$K10),X$67=0),"●","")</f>
        <v/>
      </c>
      <c r="Y10" s="50" t="str">
        <f aca="true">IF(AND($J10&lt;&gt;"",Y$4&gt;=$J10,Y$4&lt;=IF($K10="",TODAY(),$K10),Y$67=0),"●","")</f>
        <v/>
      </c>
      <c r="Z10" s="50" t="str">
        <f aca="true">IF(AND($J10&lt;&gt;"",Z$4&gt;=$J10,Z$4&lt;=IF($K10="",TODAY(),$K10),Z$67=0),"●","")</f>
        <v/>
      </c>
      <c r="AA10" s="50" t="str">
        <f aca="true">IF(AND($J10&lt;&gt;"",AA$4&gt;=$J10,AA$4&lt;=IF($K10="",TODAY(),$K10),AA$67=0),"●","")</f>
        <v/>
      </c>
      <c r="AB10" s="50" t="str">
        <f aca="true">IF(AND($J10&lt;&gt;"",AB$4&gt;=$J10,AB$4&lt;=IF($K10="",TODAY(),$K10),AB$67=0),"●","")</f>
        <v/>
      </c>
      <c r="AC10" s="50" t="str">
        <f aca="true">IF(AND($J10&lt;&gt;"",AC$4&gt;=$J10,AC$4&lt;=IF($K10="",TODAY(),$K10),AC$67=0),"●","")</f>
        <v/>
      </c>
      <c r="AD10" s="50" t="str">
        <f aca="true">IF(AND($J10&lt;&gt;"",AD$4&gt;=$J10,AD$4&lt;=IF($K10="",TODAY(),$K10),AD$67=0),"●","")</f>
        <v/>
      </c>
      <c r="AE10" s="50" t="str">
        <f aca="true">IF(AND($J10&lt;&gt;"",AE$4&gt;=$J10,AE$4&lt;=IF($K10="",TODAY(),$K10),AE$67=0),"●","")</f>
        <v/>
      </c>
      <c r="AF10" s="50" t="str">
        <f aca="true">IF(AND($J10&lt;&gt;"",AF$4&gt;=$J10,AF$4&lt;=IF($K10="",TODAY(),$K10),AF$67=0),"●","")</f>
        <v/>
      </c>
      <c r="AG10" s="50" t="str">
        <f aca="true">IF(AND($J10&lt;&gt;"",AG$4&gt;=$J10,AG$4&lt;=IF($K10="",TODAY(),$K10),AG$67=0),"●","")</f>
        <v/>
      </c>
      <c r="AH10" s="50" t="str">
        <f aca="true">IF(AND($J10&lt;&gt;"",AH$4&gt;=$J10,AH$4&lt;=IF($K10="",TODAY(),$K10),AH$67=0),"●","")</f>
        <v/>
      </c>
      <c r="AI10" s="50" t="str">
        <f aca="true">IF(AND($J10&lt;&gt;"",AI$4&gt;=$J10,AI$4&lt;=IF($K10="",TODAY(),$K10),AI$67=0),"●","")</f>
        <v/>
      </c>
      <c r="AJ10" s="50" t="str">
        <f aca="true">IF(AND($J10&lt;&gt;"",AJ$4&gt;=$J10,AJ$4&lt;=IF($K10="",TODAY(),$K10),AJ$67=0),"●","")</f>
        <v/>
      </c>
      <c r="AK10" s="50" t="str">
        <f aca="true">IF(AND($J10&lt;&gt;"",AK$4&gt;=$J10,AK$4&lt;=IF($K10="",TODAY(),$K10),AK$67=0),"●","")</f>
        <v/>
      </c>
      <c r="AL10" s="50" t="str">
        <f aca="true">IF(AND($J10&lt;&gt;"",AL$4&gt;=$J10,AL$4&lt;=IF($K10="",TODAY(),$K10),AL$67=0),"●","")</f>
        <v/>
      </c>
      <c r="AM10" s="50" t="str">
        <f aca="true">IF(AND($J10&lt;&gt;"",AM$4&gt;=$J10,AM$4&lt;=IF($K10="",TODAY(),$K10),AM$67=0),"●","")</f>
        <v/>
      </c>
      <c r="AN10" s="50" t="str">
        <f aca="true">IF(AND($J10&lt;&gt;"",AN$4&gt;=$J10,AN$4&lt;=IF($K10="",TODAY(),$K10),AN$67=0),"●","")</f>
        <v/>
      </c>
      <c r="AO10" s="50" t="str">
        <f aca="true">IF(AND($J10&lt;&gt;"",AO$4&gt;=$J10,AO$4&lt;=IF($K10="",TODAY(),$K10),AO$67=0),"●","")</f>
        <v/>
      </c>
      <c r="AP10" s="50" t="str">
        <f aca="true">IF(AND($J10&lt;&gt;"",AP$4&gt;=$J10,AP$4&lt;=IF($K10="",TODAY(),$K10),AP$67=0),"●","")</f>
        <v/>
      </c>
      <c r="AQ10" s="50" t="str">
        <f aca="true">IF(AND($J10&lt;&gt;"",AQ$4&gt;=$J10,AQ$4&lt;=IF($K10="",TODAY(),$K10),AQ$67=0),"●","")</f>
        <v/>
      </c>
      <c r="AR10" s="50" t="str">
        <f aca="true">IF(AND($J10&lt;&gt;"",AR$4&gt;=$J10,AR$4&lt;=IF($K10="",TODAY(),$K10),AR$67=0),"●","")</f>
        <v/>
      </c>
      <c r="AS10" s="50" t="str">
        <f aca="true">IF(AND($J10&lt;&gt;"",AS$4&gt;=$J10,AS$4&lt;=IF($K10="",TODAY(),$K10),AS$67=0),"●","")</f>
        <v/>
      </c>
      <c r="AT10" s="50" t="str">
        <f aca="true">IF(AND($J10&lt;&gt;"",AT$4&gt;=$J10,AT$4&lt;=IF($K10="",TODAY(),$K10),AT$67=0),"●","")</f>
        <v/>
      </c>
      <c r="AU10" s="50" t="str">
        <f aca="true">IF(AND($J10&lt;&gt;"",AU$4&gt;=$J10,AU$4&lt;=IF($K10="",TODAY(),$K10),AU$67=0),"●","")</f>
        <v/>
      </c>
      <c r="AV10" s="50" t="str">
        <f aca="true">IF(AND($J10&lt;&gt;"",AV$4&gt;=$J10,AV$4&lt;=IF($K10="",TODAY(),$K10),AV$67=0),"●","")</f>
        <v/>
      </c>
      <c r="AW10" s="50" t="str">
        <f aca="true">IF(AND($J10&lt;&gt;"",AW$4&gt;=$J10,AW$4&lt;=IF($K10="",TODAY(),$K10),AW$67=0),"●","")</f>
        <v/>
      </c>
      <c r="AX10" s="51" t="s">
        <v>179</v>
      </c>
    </row>
    <row r="11" customFormat="false" ht="15" hidden="false" customHeight="false" outlineLevel="0" collapsed="false">
      <c r="A11" s="47" t="s">
        <v>180</v>
      </c>
      <c r="B11" s="47" t="s">
        <v>164</v>
      </c>
      <c r="C11" s="47" t="s">
        <v>181</v>
      </c>
      <c r="D11" s="53" t="s">
        <v>39</v>
      </c>
      <c r="E11" s="47" t="n">
        <v>1</v>
      </c>
      <c r="F11" s="47" t="n">
        <v>1</v>
      </c>
      <c r="G11" s="47"/>
      <c r="H11" s="49" t="n">
        <v>46293</v>
      </c>
      <c r="I11" s="49" t="n">
        <f aca="false">WORKDAY(H11,E11-1,Holidays!$A$2:$A$40)</f>
        <v>46293</v>
      </c>
      <c r="J11" s="49" t="n">
        <f aca="false">IF('Project Status'!E11="","",'Project Status'!E11)</f>
        <v>46293</v>
      </c>
      <c r="K11" s="49" t="n">
        <f aca="false">IF('Project Status'!F11="","",'Project Status'!F11)</f>
        <v>46293</v>
      </c>
      <c r="L11" s="47" t="str">
        <f aca="false">IF('Project Status'!G11="","",'Project Status'!G11)</f>
        <v>Completed</v>
      </c>
      <c r="M11" s="47" t="n">
        <f aca="false">IF(OR(K11="",I11=""),"",IF(K11&gt;=I11,NETWORKDAYS(I11,K11,Holidays!$A$2:$A$40)-1,-(NETWORKDAYS(K11,I11,Holidays!$A$2:$A$40)-1)))</f>
        <v>0</v>
      </c>
      <c r="N11" s="50" t="str">
        <f aca="true">IF(AND($J11&lt;&gt;"",N$4&gt;=$J11,N$4&lt;=IF($K11="",TODAY(),$K11),N$67=0),"●","")</f>
        <v/>
      </c>
      <c r="O11" s="50" t="str">
        <f aca="true">IF(AND($J11&lt;&gt;"",O$4&gt;=$J11,O$4&lt;=IF($K11="",TODAY(),$K11),O$67=0),"●","")</f>
        <v/>
      </c>
      <c r="P11" s="50" t="str">
        <f aca="true">IF(AND($J11&lt;&gt;"",P$4&gt;=$J11,P$4&lt;=IF($K11="",TODAY(),$K11),P$67=0),"●","")</f>
        <v/>
      </c>
      <c r="Q11" s="50" t="str">
        <f aca="true">IF(AND($J11&lt;&gt;"",Q$4&gt;=$J11,Q$4&lt;=IF($K11="",TODAY(),$K11),Q$67=0),"●","")</f>
        <v/>
      </c>
      <c r="R11" s="50" t="str">
        <f aca="true">IF(AND($J11&lt;&gt;"",R$4&gt;=$J11,R$4&lt;=IF($K11="",TODAY(),$K11),R$67=0),"●","")</f>
        <v/>
      </c>
      <c r="S11" s="50" t="str">
        <f aca="true">IF(AND($J11&lt;&gt;"",S$4&gt;=$J11,S$4&lt;=IF($K11="",TODAY(),$K11),S$67=0),"●","")</f>
        <v/>
      </c>
      <c r="T11" s="50" t="str">
        <f aca="true">IF(AND($J11&lt;&gt;"",T$4&gt;=$J11,T$4&lt;=IF($K11="",TODAY(),$K11),T$67=0),"●","")</f>
        <v/>
      </c>
      <c r="U11" s="50" t="str">
        <f aca="true">IF(AND($J11&lt;&gt;"",U$4&gt;=$J11,U$4&lt;=IF($K11="",TODAY(),$K11),U$67=0),"●","")</f>
        <v>●</v>
      </c>
      <c r="V11" s="50" t="str">
        <f aca="true">IF(AND($J11&lt;&gt;"",V$4&gt;=$J11,V$4&lt;=IF($K11="",TODAY(),$K11),V$67=0),"●","")</f>
        <v/>
      </c>
      <c r="W11" s="50" t="str">
        <f aca="true">IF(AND($J11&lt;&gt;"",W$4&gt;=$J11,W$4&lt;=IF($K11="",TODAY(),$K11),W$67=0),"●","")</f>
        <v/>
      </c>
      <c r="X11" s="50" t="str">
        <f aca="true">IF(AND($J11&lt;&gt;"",X$4&gt;=$J11,X$4&lt;=IF($K11="",TODAY(),$K11),X$67=0),"●","")</f>
        <v/>
      </c>
      <c r="Y11" s="50" t="str">
        <f aca="true">IF(AND($J11&lt;&gt;"",Y$4&gt;=$J11,Y$4&lt;=IF($K11="",TODAY(),$K11),Y$67=0),"●","")</f>
        <v/>
      </c>
      <c r="Z11" s="50" t="str">
        <f aca="true">IF(AND($J11&lt;&gt;"",Z$4&gt;=$J11,Z$4&lt;=IF($K11="",TODAY(),$K11),Z$67=0),"●","")</f>
        <v/>
      </c>
      <c r="AA11" s="50" t="str">
        <f aca="true">IF(AND($J11&lt;&gt;"",AA$4&gt;=$J11,AA$4&lt;=IF($K11="",TODAY(),$K11),AA$67=0),"●","")</f>
        <v/>
      </c>
      <c r="AB11" s="50" t="str">
        <f aca="true">IF(AND($J11&lt;&gt;"",AB$4&gt;=$J11,AB$4&lt;=IF($K11="",TODAY(),$K11),AB$67=0),"●","")</f>
        <v/>
      </c>
      <c r="AC11" s="50" t="str">
        <f aca="true">IF(AND($J11&lt;&gt;"",AC$4&gt;=$J11,AC$4&lt;=IF($K11="",TODAY(),$K11),AC$67=0),"●","")</f>
        <v/>
      </c>
      <c r="AD11" s="50" t="str">
        <f aca="true">IF(AND($J11&lt;&gt;"",AD$4&gt;=$J11,AD$4&lt;=IF($K11="",TODAY(),$K11),AD$67=0),"●","")</f>
        <v/>
      </c>
      <c r="AE11" s="50" t="str">
        <f aca="true">IF(AND($J11&lt;&gt;"",AE$4&gt;=$J11,AE$4&lt;=IF($K11="",TODAY(),$K11),AE$67=0),"●","")</f>
        <v/>
      </c>
      <c r="AF11" s="50" t="str">
        <f aca="true">IF(AND($J11&lt;&gt;"",AF$4&gt;=$J11,AF$4&lt;=IF($K11="",TODAY(),$K11),AF$67=0),"●","")</f>
        <v/>
      </c>
      <c r="AG11" s="50" t="str">
        <f aca="true">IF(AND($J11&lt;&gt;"",AG$4&gt;=$J11,AG$4&lt;=IF($K11="",TODAY(),$K11),AG$67=0),"●","")</f>
        <v/>
      </c>
      <c r="AH11" s="50" t="str">
        <f aca="true">IF(AND($J11&lt;&gt;"",AH$4&gt;=$J11,AH$4&lt;=IF($K11="",TODAY(),$K11),AH$67=0),"●","")</f>
        <v/>
      </c>
      <c r="AI11" s="50" t="str">
        <f aca="true">IF(AND($J11&lt;&gt;"",AI$4&gt;=$J11,AI$4&lt;=IF($K11="",TODAY(),$K11),AI$67=0),"●","")</f>
        <v/>
      </c>
      <c r="AJ11" s="50" t="str">
        <f aca="true">IF(AND($J11&lt;&gt;"",AJ$4&gt;=$J11,AJ$4&lt;=IF($K11="",TODAY(),$K11),AJ$67=0),"●","")</f>
        <v/>
      </c>
      <c r="AK11" s="50" t="str">
        <f aca="true">IF(AND($J11&lt;&gt;"",AK$4&gt;=$J11,AK$4&lt;=IF($K11="",TODAY(),$K11),AK$67=0),"●","")</f>
        <v/>
      </c>
      <c r="AL11" s="50" t="str">
        <f aca="true">IF(AND($J11&lt;&gt;"",AL$4&gt;=$J11,AL$4&lt;=IF($K11="",TODAY(),$K11),AL$67=0),"●","")</f>
        <v/>
      </c>
      <c r="AM11" s="50" t="str">
        <f aca="true">IF(AND($J11&lt;&gt;"",AM$4&gt;=$J11,AM$4&lt;=IF($K11="",TODAY(),$K11),AM$67=0),"●","")</f>
        <v/>
      </c>
      <c r="AN11" s="50" t="str">
        <f aca="true">IF(AND($J11&lt;&gt;"",AN$4&gt;=$J11,AN$4&lt;=IF($K11="",TODAY(),$K11),AN$67=0),"●","")</f>
        <v/>
      </c>
      <c r="AO11" s="50" t="str">
        <f aca="true">IF(AND($J11&lt;&gt;"",AO$4&gt;=$J11,AO$4&lt;=IF($K11="",TODAY(),$K11),AO$67=0),"●","")</f>
        <v/>
      </c>
      <c r="AP11" s="50" t="str">
        <f aca="true">IF(AND($J11&lt;&gt;"",AP$4&gt;=$J11,AP$4&lt;=IF($K11="",TODAY(),$K11),AP$67=0),"●","")</f>
        <v/>
      </c>
      <c r="AQ11" s="50" t="str">
        <f aca="true">IF(AND($J11&lt;&gt;"",AQ$4&gt;=$J11,AQ$4&lt;=IF($K11="",TODAY(),$K11),AQ$67=0),"●","")</f>
        <v/>
      </c>
      <c r="AR11" s="50" t="str">
        <f aca="true">IF(AND($J11&lt;&gt;"",AR$4&gt;=$J11,AR$4&lt;=IF($K11="",TODAY(),$K11),AR$67=0),"●","")</f>
        <v/>
      </c>
      <c r="AS11" s="50" t="str">
        <f aca="true">IF(AND($J11&lt;&gt;"",AS$4&gt;=$J11,AS$4&lt;=IF($K11="",TODAY(),$K11),AS$67=0),"●","")</f>
        <v/>
      </c>
      <c r="AT11" s="50" t="str">
        <f aca="true">IF(AND($J11&lt;&gt;"",AT$4&gt;=$J11,AT$4&lt;=IF($K11="",TODAY(),$K11),AT$67=0),"●","")</f>
        <v/>
      </c>
      <c r="AU11" s="50" t="str">
        <f aca="true">IF(AND($J11&lt;&gt;"",AU$4&gt;=$J11,AU$4&lt;=IF($K11="",TODAY(),$K11),AU$67=0),"●","")</f>
        <v/>
      </c>
      <c r="AV11" s="50" t="str">
        <f aca="true">IF(AND($J11&lt;&gt;"",AV$4&gt;=$J11,AV$4&lt;=IF($K11="",TODAY(),$K11),AV$67=0),"●","")</f>
        <v/>
      </c>
      <c r="AW11" s="50" t="str">
        <f aca="true">IF(AND($J11&lt;&gt;"",AW$4&gt;=$J11,AW$4&lt;=IF($K11="",TODAY(),$K11),AW$67=0),"●","")</f>
        <v/>
      </c>
      <c r="AX11" s="51" t="s">
        <v>176</v>
      </c>
    </row>
    <row r="12" customFormat="false" ht="15" hidden="false" customHeight="false" outlineLevel="0" collapsed="false">
      <c r="A12" s="47" t="s">
        <v>182</v>
      </c>
      <c r="B12" s="47" t="s">
        <v>164</v>
      </c>
      <c r="C12" s="47" t="s">
        <v>183</v>
      </c>
      <c r="D12" s="53" t="s">
        <v>39</v>
      </c>
      <c r="E12" s="47" t="n">
        <v>1</v>
      </c>
      <c r="F12" s="47" t="n">
        <v>1</v>
      </c>
      <c r="G12" s="47"/>
      <c r="H12" s="49" t="n">
        <v>46300</v>
      </c>
      <c r="I12" s="49" t="n">
        <f aca="false">WORKDAY(H12,E12-1,Holidays!$A$2:$A$40)</f>
        <v>46300</v>
      </c>
      <c r="J12" s="49" t="n">
        <f aca="false">IF('Project Status'!E12="","",'Project Status'!E12)</f>
        <v>46300</v>
      </c>
      <c r="K12" s="49" t="n">
        <f aca="false">IF('Project Status'!F12="","",'Project Status'!F12)</f>
        <v>46300</v>
      </c>
      <c r="L12" s="47" t="str">
        <f aca="false">IF('Project Status'!G12="","",'Project Status'!G12)</f>
        <v>Completed</v>
      </c>
      <c r="M12" s="47" t="n">
        <f aca="false">IF(OR(K12="",I12=""),"",IF(K12&gt;=I12,NETWORKDAYS(I12,K12,Holidays!$A$2:$A$40)-1,-(NETWORKDAYS(K12,I12,Holidays!$A$2:$A$40)-1)))</f>
        <v>0</v>
      </c>
      <c r="N12" s="50" t="str">
        <f aca="true">IF(AND($J12&lt;&gt;"",N$4&gt;=$J12,N$4&lt;=IF($K12="",TODAY(),$K12),N$67=0),"●","")</f>
        <v/>
      </c>
      <c r="O12" s="50" t="str">
        <f aca="true">IF(AND($J12&lt;&gt;"",O$4&gt;=$J12,O$4&lt;=IF($K12="",TODAY(),$K12),O$67=0),"●","")</f>
        <v/>
      </c>
      <c r="P12" s="50" t="str">
        <f aca="true">IF(AND($J12&lt;&gt;"",P$4&gt;=$J12,P$4&lt;=IF($K12="",TODAY(),$K12),P$67=0),"●","")</f>
        <v/>
      </c>
      <c r="Q12" s="50" t="str">
        <f aca="true">IF(AND($J12&lt;&gt;"",Q$4&gt;=$J12,Q$4&lt;=IF($K12="",TODAY(),$K12),Q$67=0),"●","")</f>
        <v/>
      </c>
      <c r="R12" s="50" t="str">
        <f aca="true">IF(AND($J12&lt;&gt;"",R$4&gt;=$J12,R$4&lt;=IF($K12="",TODAY(),$K12),R$67=0),"●","")</f>
        <v/>
      </c>
      <c r="S12" s="50" t="str">
        <f aca="true">IF(AND($J12&lt;&gt;"",S$4&gt;=$J12,S$4&lt;=IF($K12="",TODAY(),$K12),S$67=0),"●","")</f>
        <v/>
      </c>
      <c r="T12" s="50" t="str">
        <f aca="true">IF(AND($J12&lt;&gt;"",T$4&gt;=$J12,T$4&lt;=IF($K12="",TODAY(),$K12),T$67=0),"●","")</f>
        <v/>
      </c>
      <c r="U12" s="50" t="str">
        <f aca="true">IF(AND($J12&lt;&gt;"",U$4&gt;=$J12,U$4&lt;=IF($K12="",TODAY(),$K12),U$67=0),"●","")</f>
        <v/>
      </c>
      <c r="V12" s="50" t="str">
        <f aca="true">IF(AND($J12&lt;&gt;"",V$4&gt;=$J12,V$4&lt;=IF($K12="",TODAY(),$K12),V$67=0),"●","")</f>
        <v/>
      </c>
      <c r="W12" s="50" t="str">
        <f aca="true">IF(AND($J12&lt;&gt;"",W$4&gt;=$J12,W$4&lt;=IF($K12="",TODAY(),$K12),W$67=0),"●","")</f>
        <v/>
      </c>
      <c r="X12" s="50" t="str">
        <f aca="true">IF(AND($J12&lt;&gt;"",X$4&gt;=$J12,X$4&lt;=IF($K12="",TODAY(),$K12),X$67=0),"●","")</f>
        <v/>
      </c>
      <c r="Y12" s="50" t="str">
        <f aca="true">IF(AND($J12&lt;&gt;"",Y$4&gt;=$J12,Y$4&lt;=IF($K12="",TODAY(),$K12),Y$67=0),"●","")</f>
        <v/>
      </c>
      <c r="Z12" s="50" t="str">
        <f aca="true">IF(AND($J12&lt;&gt;"",Z$4&gt;=$J12,Z$4&lt;=IF($K12="",TODAY(),$K12),Z$67=0),"●","")</f>
        <v>●</v>
      </c>
      <c r="AA12" s="50" t="str">
        <f aca="true">IF(AND($J12&lt;&gt;"",AA$4&gt;=$J12,AA$4&lt;=IF($K12="",TODAY(),$K12),AA$67=0),"●","")</f>
        <v/>
      </c>
      <c r="AB12" s="50" t="str">
        <f aca="true">IF(AND($J12&lt;&gt;"",AB$4&gt;=$J12,AB$4&lt;=IF($K12="",TODAY(),$K12),AB$67=0),"●","")</f>
        <v/>
      </c>
      <c r="AC12" s="50" t="str">
        <f aca="true">IF(AND($J12&lt;&gt;"",AC$4&gt;=$J12,AC$4&lt;=IF($K12="",TODAY(),$K12),AC$67=0),"●","")</f>
        <v/>
      </c>
      <c r="AD12" s="50" t="str">
        <f aca="true">IF(AND($J12&lt;&gt;"",AD$4&gt;=$J12,AD$4&lt;=IF($K12="",TODAY(),$K12),AD$67=0),"●","")</f>
        <v/>
      </c>
      <c r="AE12" s="50" t="str">
        <f aca="true">IF(AND($J12&lt;&gt;"",AE$4&gt;=$J12,AE$4&lt;=IF($K12="",TODAY(),$K12),AE$67=0),"●","")</f>
        <v/>
      </c>
      <c r="AF12" s="50" t="str">
        <f aca="true">IF(AND($J12&lt;&gt;"",AF$4&gt;=$J12,AF$4&lt;=IF($K12="",TODAY(),$K12),AF$67=0),"●","")</f>
        <v/>
      </c>
      <c r="AG12" s="50" t="str">
        <f aca="true">IF(AND($J12&lt;&gt;"",AG$4&gt;=$J12,AG$4&lt;=IF($K12="",TODAY(),$K12),AG$67=0),"●","")</f>
        <v/>
      </c>
      <c r="AH12" s="50" t="str">
        <f aca="true">IF(AND($J12&lt;&gt;"",AH$4&gt;=$J12,AH$4&lt;=IF($K12="",TODAY(),$K12),AH$67=0),"●","")</f>
        <v/>
      </c>
      <c r="AI12" s="50" t="str">
        <f aca="true">IF(AND($J12&lt;&gt;"",AI$4&gt;=$J12,AI$4&lt;=IF($K12="",TODAY(),$K12),AI$67=0),"●","")</f>
        <v/>
      </c>
      <c r="AJ12" s="50" t="str">
        <f aca="true">IF(AND($J12&lt;&gt;"",AJ$4&gt;=$J12,AJ$4&lt;=IF($K12="",TODAY(),$K12),AJ$67=0),"●","")</f>
        <v/>
      </c>
      <c r="AK12" s="50" t="str">
        <f aca="true">IF(AND($J12&lt;&gt;"",AK$4&gt;=$J12,AK$4&lt;=IF($K12="",TODAY(),$K12),AK$67=0),"●","")</f>
        <v/>
      </c>
      <c r="AL12" s="50" t="str">
        <f aca="true">IF(AND($J12&lt;&gt;"",AL$4&gt;=$J12,AL$4&lt;=IF($K12="",TODAY(),$K12),AL$67=0),"●","")</f>
        <v/>
      </c>
      <c r="AM12" s="50" t="str">
        <f aca="true">IF(AND($J12&lt;&gt;"",AM$4&gt;=$J12,AM$4&lt;=IF($K12="",TODAY(),$K12),AM$67=0),"●","")</f>
        <v/>
      </c>
      <c r="AN12" s="50" t="str">
        <f aca="true">IF(AND($J12&lt;&gt;"",AN$4&gt;=$J12,AN$4&lt;=IF($K12="",TODAY(),$K12),AN$67=0),"●","")</f>
        <v/>
      </c>
      <c r="AO12" s="50" t="str">
        <f aca="true">IF(AND($J12&lt;&gt;"",AO$4&gt;=$J12,AO$4&lt;=IF($K12="",TODAY(),$K12),AO$67=0),"●","")</f>
        <v/>
      </c>
      <c r="AP12" s="50" t="str">
        <f aca="true">IF(AND($J12&lt;&gt;"",AP$4&gt;=$J12,AP$4&lt;=IF($K12="",TODAY(),$K12),AP$67=0),"●","")</f>
        <v/>
      </c>
      <c r="AQ12" s="50" t="str">
        <f aca="true">IF(AND($J12&lt;&gt;"",AQ$4&gt;=$J12,AQ$4&lt;=IF($K12="",TODAY(),$K12),AQ$67=0),"●","")</f>
        <v/>
      </c>
      <c r="AR12" s="50" t="str">
        <f aca="true">IF(AND($J12&lt;&gt;"",AR$4&gt;=$J12,AR$4&lt;=IF($K12="",TODAY(),$K12),AR$67=0),"●","")</f>
        <v/>
      </c>
      <c r="AS12" s="50" t="str">
        <f aca="true">IF(AND($J12&lt;&gt;"",AS$4&gt;=$J12,AS$4&lt;=IF($K12="",TODAY(),$K12),AS$67=0),"●","")</f>
        <v/>
      </c>
      <c r="AT12" s="50" t="str">
        <f aca="true">IF(AND($J12&lt;&gt;"",AT$4&gt;=$J12,AT$4&lt;=IF($K12="",TODAY(),$K12),AT$67=0),"●","")</f>
        <v/>
      </c>
      <c r="AU12" s="50" t="str">
        <f aca="true">IF(AND($J12&lt;&gt;"",AU$4&gt;=$J12,AU$4&lt;=IF($K12="",TODAY(),$K12),AU$67=0),"●","")</f>
        <v/>
      </c>
      <c r="AV12" s="50" t="str">
        <f aca="true">IF(AND($J12&lt;&gt;"",AV$4&gt;=$J12,AV$4&lt;=IF($K12="",TODAY(),$K12),AV$67=0),"●","")</f>
        <v/>
      </c>
      <c r="AW12" s="50" t="str">
        <f aca="true">IF(AND($J12&lt;&gt;"",AW$4&gt;=$J12,AW$4&lt;=IF($K12="",TODAY(),$K12),AW$67=0),"●","")</f>
        <v/>
      </c>
      <c r="AX12" s="51" t="s">
        <v>176</v>
      </c>
    </row>
    <row r="13" customFormat="false" ht="15" hidden="false" customHeight="false" outlineLevel="0" collapsed="false">
      <c r="A13" s="47" t="s">
        <v>184</v>
      </c>
      <c r="B13" s="47" t="s">
        <v>164</v>
      </c>
      <c r="C13" s="47" t="s">
        <v>185</v>
      </c>
      <c r="D13" s="52" t="s">
        <v>37</v>
      </c>
      <c r="E13" s="47" t="n">
        <v>4</v>
      </c>
      <c r="F13" s="47" t="n">
        <v>4</v>
      </c>
      <c r="G13" s="47"/>
      <c r="H13" s="49" t="n">
        <v>46300</v>
      </c>
      <c r="I13" s="49" t="n">
        <f aca="false">WORKDAY(H13,E13-1,Holidays!$A$2:$A$40)</f>
        <v>46303</v>
      </c>
      <c r="J13" s="49" t="n">
        <f aca="false">IF('Project Status'!E13="","",'Project Status'!E13)</f>
        <v>46300</v>
      </c>
      <c r="K13" s="49" t="n">
        <f aca="false">IF('Project Status'!F13="","",'Project Status'!F13)</f>
        <v>46303</v>
      </c>
      <c r="L13" s="47" t="str">
        <f aca="false">IF('Project Status'!G13="","",'Project Status'!G13)</f>
        <v>Completed</v>
      </c>
      <c r="M13" s="47" t="n">
        <f aca="false">IF(OR(K13="",I13=""),"",IF(K13&gt;=I13,NETWORKDAYS(I13,K13,Holidays!$A$2:$A$40)-1,-(NETWORKDAYS(K13,I13,Holidays!$A$2:$A$40)-1)))</f>
        <v>0</v>
      </c>
      <c r="N13" s="50" t="str">
        <f aca="true">IF(AND($J13&lt;&gt;"",N$4&gt;=$J13,N$4&lt;=IF($K13="",TODAY(),$K13),N$67=0),"●","")</f>
        <v/>
      </c>
      <c r="O13" s="50" t="str">
        <f aca="true">IF(AND($J13&lt;&gt;"",O$4&gt;=$J13,O$4&lt;=IF($K13="",TODAY(),$K13),O$67=0),"●","")</f>
        <v/>
      </c>
      <c r="P13" s="50" t="str">
        <f aca="true">IF(AND($J13&lt;&gt;"",P$4&gt;=$J13,P$4&lt;=IF($K13="",TODAY(),$K13),P$67=0),"●","")</f>
        <v/>
      </c>
      <c r="Q13" s="50" t="str">
        <f aca="true">IF(AND($J13&lt;&gt;"",Q$4&gt;=$J13,Q$4&lt;=IF($K13="",TODAY(),$K13),Q$67=0),"●","")</f>
        <v/>
      </c>
      <c r="R13" s="50" t="str">
        <f aca="true">IF(AND($J13&lt;&gt;"",R$4&gt;=$J13,R$4&lt;=IF($K13="",TODAY(),$K13),R$67=0),"●","")</f>
        <v/>
      </c>
      <c r="S13" s="50" t="str">
        <f aca="true">IF(AND($J13&lt;&gt;"",S$4&gt;=$J13,S$4&lt;=IF($K13="",TODAY(),$K13),S$67=0),"●","")</f>
        <v/>
      </c>
      <c r="T13" s="50" t="str">
        <f aca="true">IF(AND($J13&lt;&gt;"",T$4&gt;=$J13,T$4&lt;=IF($K13="",TODAY(),$K13),T$67=0),"●","")</f>
        <v/>
      </c>
      <c r="U13" s="50" t="str">
        <f aca="true">IF(AND($J13&lt;&gt;"",U$4&gt;=$J13,U$4&lt;=IF($K13="",TODAY(),$K13),U$67=0),"●","")</f>
        <v/>
      </c>
      <c r="V13" s="50" t="str">
        <f aca="true">IF(AND($J13&lt;&gt;"",V$4&gt;=$J13,V$4&lt;=IF($K13="",TODAY(),$K13),V$67=0),"●","")</f>
        <v/>
      </c>
      <c r="W13" s="50" t="str">
        <f aca="true">IF(AND($J13&lt;&gt;"",W$4&gt;=$J13,W$4&lt;=IF($K13="",TODAY(),$K13),W$67=0),"●","")</f>
        <v/>
      </c>
      <c r="X13" s="50" t="str">
        <f aca="true">IF(AND($J13&lt;&gt;"",X$4&gt;=$J13,X$4&lt;=IF($K13="",TODAY(),$K13),X$67=0),"●","")</f>
        <v/>
      </c>
      <c r="Y13" s="50" t="str">
        <f aca="true">IF(AND($J13&lt;&gt;"",Y$4&gt;=$J13,Y$4&lt;=IF($K13="",TODAY(),$K13),Y$67=0),"●","")</f>
        <v/>
      </c>
      <c r="Z13" s="50" t="str">
        <f aca="true">IF(AND($J13&lt;&gt;"",Z$4&gt;=$J13,Z$4&lt;=IF($K13="",TODAY(),$K13),Z$67=0),"●","")</f>
        <v>●</v>
      </c>
      <c r="AA13" s="50" t="str">
        <f aca="true">IF(AND($J13&lt;&gt;"",AA$4&gt;=$J13,AA$4&lt;=IF($K13="",TODAY(),$K13),AA$67=0),"●","")</f>
        <v>●</v>
      </c>
      <c r="AB13" s="50" t="str">
        <f aca="true">IF(AND($J13&lt;&gt;"",AB$4&gt;=$J13,AB$4&lt;=IF($K13="",TODAY(),$K13),AB$67=0),"●","")</f>
        <v>●</v>
      </c>
      <c r="AC13" s="50" t="str">
        <f aca="true">IF(AND($J13&lt;&gt;"",AC$4&gt;=$J13,AC$4&lt;=IF($K13="",TODAY(),$K13),AC$67=0),"●","")</f>
        <v>●</v>
      </c>
      <c r="AD13" s="50" t="str">
        <f aca="true">IF(AND($J13&lt;&gt;"",AD$4&gt;=$J13,AD$4&lt;=IF($K13="",TODAY(),$K13),AD$67=0),"●","")</f>
        <v/>
      </c>
      <c r="AE13" s="50" t="str">
        <f aca="true">IF(AND($J13&lt;&gt;"",AE$4&gt;=$J13,AE$4&lt;=IF($K13="",TODAY(),$K13),AE$67=0),"●","")</f>
        <v/>
      </c>
      <c r="AF13" s="50" t="str">
        <f aca="true">IF(AND($J13&lt;&gt;"",AF$4&gt;=$J13,AF$4&lt;=IF($K13="",TODAY(),$K13),AF$67=0),"●","")</f>
        <v/>
      </c>
      <c r="AG13" s="50" t="str">
        <f aca="true">IF(AND($J13&lt;&gt;"",AG$4&gt;=$J13,AG$4&lt;=IF($K13="",TODAY(),$K13),AG$67=0),"●","")</f>
        <v/>
      </c>
      <c r="AH13" s="50" t="str">
        <f aca="true">IF(AND($J13&lt;&gt;"",AH$4&gt;=$J13,AH$4&lt;=IF($K13="",TODAY(),$K13),AH$67=0),"●","")</f>
        <v/>
      </c>
      <c r="AI13" s="50" t="str">
        <f aca="true">IF(AND($J13&lt;&gt;"",AI$4&gt;=$J13,AI$4&lt;=IF($K13="",TODAY(),$K13),AI$67=0),"●","")</f>
        <v/>
      </c>
      <c r="AJ13" s="50" t="str">
        <f aca="true">IF(AND($J13&lt;&gt;"",AJ$4&gt;=$J13,AJ$4&lt;=IF($K13="",TODAY(),$K13),AJ$67=0),"●","")</f>
        <v/>
      </c>
      <c r="AK13" s="50" t="str">
        <f aca="true">IF(AND($J13&lt;&gt;"",AK$4&gt;=$J13,AK$4&lt;=IF($K13="",TODAY(),$K13),AK$67=0),"●","")</f>
        <v/>
      </c>
      <c r="AL13" s="50" t="str">
        <f aca="true">IF(AND($J13&lt;&gt;"",AL$4&gt;=$J13,AL$4&lt;=IF($K13="",TODAY(),$K13),AL$67=0),"●","")</f>
        <v/>
      </c>
      <c r="AM13" s="50" t="str">
        <f aca="true">IF(AND($J13&lt;&gt;"",AM$4&gt;=$J13,AM$4&lt;=IF($K13="",TODAY(),$K13),AM$67=0),"●","")</f>
        <v/>
      </c>
      <c r="AN13" s="50" t="str">
        <f aca="true">IF(AND($J13&lt;&gt;"",AN$4&gt;=$J13,AN$4&lt;=IF($K13="",TODAY(),$K13),AN$67=0),"●","")</f>
        <v/>
      </c>
      <c r="AO13" s="50" t="str">
        <f aca="true">IF(AND($J13&lt;&gt;"",AO$4&gt;=$J13,AO$4&lt;=IF($K13="",TODAY(),$K13),AO$67=0),"●","")</f>
        <v/>
      </c>
      <c r="AP13" s="50" t="str">
        <f aca="true">IF(AND($J13&lt;&gt;"",AP$4&gt;=$J13,AP$4&lt;=IF($K13="",TODAY(),$K13),AP$67=0),"●","")</f>
        <v/>
      </c>
      <c r="AQ13" s="50" t="str">
        <f aca="true">IF(AND($J13&lt;&gt;"",AQ$4&gt;=$J13,AQ$4&lt;=IF($K13="",TODAY(),$K13),AQ$67=0),"●","")</f>
        <v/>
      </c>
      <c r="AR13" s="50" t="str">
        <f aca="true">IF(AND($J13&lt;&gt;"",AR$4&gt;=$J13,AR$4&lt;=IF($K13="",TODAY(),$K13),AR$67=0),"●","")</f>
        <v/>
      </c>
      <c r="AS13" s="50" t="str">
        <f aca="true">IF(AND($J13&lt;&gt;"",AS$4&gt;=$J13,AS$4&lt;=IF($K13="",TODAY(),$K13),AS$67=0),"●","")</f>
        <v/>
      </c>
      <c r="AT13" s="50" t="str">
        <f aca="true">IF(AND($J13&lt;&gt;"",AT$4&gt;=$J13,AT$4&lt;=IF($K13="",TODAY(),$K13),AT$67=0),"●","")</f>
        <v/>
      </c>
      <c r="AU13" s="50" t="str">
        <f aca="true">IF(AND($J13&lt;&gt;"",AU$4&gt;=$J13,AU$4&lt;=IF($K13="",TODAY(),$K13),AU$67=0),"●","")</f>
        <v/>
      </c>
      <c r="AV13" s="50" t="str">
        <f aca="true">IF(AND($J13&lt;&gt;"",AV$4&gt;=$J13,AV$4&lt;=IF($K13="",TODAY(),$K13),AV$67=0),"●","")</f>
        <v/>
      </c>
      <c r="AW13" s="50" t="str">
        <f aca="true">IF(AND($J13&lt;&gt;"",AW$4&gt;=$J13,AW$4&lt;=IF($K13="",TODAY(),$K13),AW$67=0),"●","")</f>
        <v/>
      </c>
      <c r="AX13" s="51" t="s">
        <v>186</v>
      </c>
    </row>
    <row r="14" customFormat="false" ht="15" hidden="false" customHeight="false" outlineLevel="0" collapsed="false">
      <c r="A14" s="47" t="s">
        <v>187</v>
      </c>
      <c r="B14" s="47" t="s">
        <v>164</v>
      </c>
      <c r="C14" s="47" t="s">
        <v>188</v>
      </c>
      <c r="D14" s="53" t="s">
        <v>39</v>
      </c>
      <c r="E14" s="47" t="n">
        <v>1</v>
      </c>
      <c r="F14" s="47" t="n">
        <v>1</v>
      </c>
      <c r="G14" s="47"/>
      <c r="H14" s="49" t="n">
        <v>46303</v>
      </c>
      <c r="I14" s="49" t="n">
        <f aca="false">WORKDAY(H14,E14-1,Holidays!$A$2:$A$40)</f>
        <v>46303</v>
      </c>
      <c r="J14" s="49" t="n">
        <f aca="false">IF('Project Status'!E14="","",'Project Status'!E14)</f>
        <v>46303</v>
      </c>
      <c r="K14" s="49" t="n">
        <f aca="false">IF('Project Status'!F14="","",'Project Status'!F14)</f>
        <v>46303</v>
      </c>
      <c r="L14" s="47" t="str">
        <f aca="false">IF('Project Status'!G14="","",'Project Status'!G14)</f>
        <v>Completed</v>
      </c>
      <c r="M14" s="47" t="n">
        <f aca="false">IF(OR(K14="",I14=""),"",IF(K14&gt;=I14,NETWORKDAYS(I14,K14,Holidays!$A$2:$A$40)-1,-(NETWORKDAYS(K14,I14,Holidays!$A$2:$A$40)-1)))</f>
        <v>0</v>
      </c>
      <c r="N14" s="50" t="str">
        <f aca="true">IF(AND($J14&lt;&gt;"",N$4&gt;=$J14,N$4&lt;=IF($K14="",TODAY(),$K14),N$67=0),"●","")</f>
        <v/>
      </c>
      <c r="O14" s="50" t="str">
        <f aca="true">IF(AND($J14&lt;&gt;"",O$4&gt;=$J14,O$4&lt;=IF($K14="",TODAY(),$K14),O$67=0),"●","")</f>
        <v/>
      </c>
      <c r="P14" s="50" t="str">
        <f aca="true">IF(AND($J14&lt;&gt;"",P$4&gt;=$J14,P$4&lt;=IF($K14="",TODAY(),$K14),P$67=0),"●","")</f>
        <v/>
      </c>
      <c r="Q14" s="50" t="str">
        <f aca="true">IF(AND($J14&lt;&gt;"",Q$4&gt;=$J14,Q$4&lt;=IF($K14="",TODAY(),$K14),Q$67=0),"●","")</f>
        <v/>
      </c>
      <c r="R14" s="50" t="str">
        <f aca="true">IF(AND($J14&lt;&gt;"",R$4&gt;=$J14,R$4&lt;=IF($K14="",TODAY(),$K14),R$67=0),"●","")</f>
        <v/>
      </c>
      <c r="S14" s="50" t="str">
        <f aca="true">IF(AND($J14&lt;&gt;"",S$4&gt;=$J14,S$4&lt;=IF($K14="",TODAY(),$K14),S$67=0),"●","")</f>
        <v/>
      </c>
      <c r="T14" s="50" t="str">
        <f aca="true">IF(AND($J14&lt;&gt;"",T$4&gt;=$J14,T$4&lt;=IF($K14="",TODAY(),$K14),T$67=0),"●","")</f>
        <v/>
      </c>
      <c r="U14" s="50" t="str">
        <f aca="true">IF(AND($J14&lt;&gt;"",U$4&gt;=$J14,U$4&lt;=IF($K14="",TODAY(),$K14),U$67=0),"●","")</f>
        <v/>
      </c>
      <c r="V14" s="50" t="str">
        <f aca="true">IF(AND($J14&lt;&gt;"",V$4&gt;=$J14,V$4&lt;=IF($K14="",TODAY(),$K14),V$67=0),"●","")</f>
        <v/>
      </c>
      <c r="W14" s="50" t="str">
        <f aca="true">IF(AND($J14&lt;&gt;"",W$4&gt;=$J14,W$4&lt;=IF($K14="",TODAY(),$K14),W$67=0),"●","")</f>
        <v/>
      </c>
      <c r="X14" s="50" t="str">
        <f aca="true">IF(AND($J14&lt;&gt;"",X$4&gt;=$J14,X$4&lt;=IF($K14="",TODAY(),$K14),X$67=0),"●","")</f>
        <v/>
      </c>
      <c r="Y14" s="50" t="str">
        <f aca="true">IF(AND($J14&lt;&gt;"",Y$4&gt;=$J14,Y$4&lt;=IF($K14="",TODAY(),$K14),Y$67=0),"●","")</f>
        <v/>
      </c>
      <c r="Z14" s="50" t="str">
        <f aca="true">IF(AND($J14&lt;&gt;"",Z$4&gt;=$J14,Z$4&lt;=IF($K14="",TODAY(),$K14),Z$67=0),"●","")</f>
        <v/>
      </c>
      <c r="AA14" s="50" t="str">
        <f aca="true">IF(AND($J14&lt;&gt;"",AA$4&gt;=$J14,AA$4&lt;=IF($K14="",TODAY(),$K14),AA$67=0),"●","")</f>
        <v/>
      </c>
      <c r="AB14" s="50" t="str">
        <f aca="true">IF(AND($J14&lt;&gt;"",AB$4&gt;=$J14,AB$4&lt;=IF($K14="",TODAY(),$K14),AB$67=0),"●","")</f>
        <v/>
      </c>
      <c r="AC14" s="50" t="str">
        <f aca="true">IF(AND($J14&lt;&gt;"",AC$4&gt;=$J14,AC$4&lt;=IF($K14="",TODAY(),$K14),AC$67=0),"●","")</f>
        <v>●</v>
      </c>
      <c r="AD14" s="50" t="str">
        <f aca="true">IF(AND($J14&lt;&gt;"",AD$4&gt;=$J14,AD$4&lt;=IF($K14="",TODAY(),$K14),AD$67=0),"●","")</f>
        <v/>
      </c>
      <c r="AE14" s="50" t="str">
        <f aca="true">IF(AND($J14&lt;&gt;"",AE$4&gt;=$J14,AE$4&lt;=IF($K14="",TODAY(),$K14),AE$67=0),"●","")</f>
        <v/>
      </c>
      <c r="AF14" s="50" t="str">
        <f aca="true">IF(AND($J14&lt;&gt;"",AF$4&gt;=$J14,AF$4&lt;=IF($K14="",TODAY(),$K14),AF$67=0),"●","")</f>
        <v/>
      </c>
      <c r="AG14" s="50" t="str">
        <f aca="true">IF(AND($J14&lt;&gt;"",AG$4&gt;=$J14,AG$4&lt;=IF($K14="",TODAY(),$K14),AG$67=0),"●","")</f>
        <v/>
      </c>
      <c r="AH14" s="50" t="str">
        <f aca="true">IF(AND($J14&lt;&gt;"",AH$4&gt;=$J14,AH$4&lt;=IF($K14="",TODAY(),$K14),AH$67=0),"●","")</f>
        <v/>
      </c>
      <c r="AI14" s="50" t="str">
        <f aca="true">IF(AND($J14&lt;&gt;"",AI$4&gt;=$J14,AI$4&lt;=IF($K14="",TODAY(),$K14),AI$67=0),"●","")</f>
        <v/>
      </c>
      <c r="AJ14" s="50" t="str">
        <f aca="true">IF(AND($J14&lt;&gt;"",AJ$4&gt;=$J14,AJ$4&lt;=IF($K14="",TODAY(),$K14),AJ$67=0),"●","")</f>
        <v/>
      </c>
      <c r="AK14" s="50" t="str">
        <f aca="true">IF(AND($J14&lt;&gt;"",AK$4&gt;=$J14,AK$4&lt;=IF($K14="",TODAY(),$K14),AK$67=0),"●","")</f>
        <v/>
      </c>
      <c r="AL14" s="50" t="str">
        <f aca="true">IF(AND($J14&lt;&gt;"",AL$4&gt;=$J14,AL$4&lt;=IF($K14="",TODAY(),$K14),AL$67=0),"●","")</f>
        <v/>
      </c>
      <c r="AM14" s="50" t="str">
        <f aca="true">IF(AND($J14&lt;&gt;"",AM$4&gt;=$J14,AM$4&lt;=IF($K14="",TODAY(),$K14),AM$67=0),"●","")</f>
        <v/>
      </c>
      <c r="AN14" s="50" t="str">
        <f aca="true">IF(AND($J14&lt;&gt;"",AN$4&gt;=$J14,AN$4&lt;=IF($K14="",TODAY(),$K14),AN$67=0),"●","")</f>
        <v/>
      </c>
      <c r="AO14" s="50" t="str">
        <f aca="true">IF(AND($J14&lt;&gt;"",AO$4&gt;=$J14,AO$4&lt;=IF($K14="",TODAY(),$K14),AO$67=0),"●","")</f>
        <v/>
      </c>
      <c r="AP14" s="50" t="str">
        <f aca="true">IF(AND($J14&lt;&gt;"",AP$4&gt;=$J14,AP$4&lt;=IF($K14="",TODAY(),$K14),AP$67=0),"●","")</f>
        <v/>
      </c>
      <c r="AQ14" s="50" t="str">
        <f aca="true">IF(AND($J14&lt;&gt;"",AQ$4&gt;=$J14,AQ$4&lt;=IF($K14="",TODAY(),$K14),AQ$67=0),"●","")</f>
        <v/>
      </c>
      <c r="AR14" s="50" t="str">
        <f aca="true">IF(AND($J14&lt;&gt;"",AR$4&gt;=$J14,AR$4&lt;=IF($K14="",TODAY(),$K14),AR$67=0),"●","")</f>
        <v/>
      </c>
      <c r="AS14" s="50" t="str">
        <f aca="true">IF(AND($J14&lt;&gt;"",AS$4&gt;=$J14,AS$4&lt;=IF($K14="",TODAY(),$K14),AS$67=0),"●","")</f>
        <v/>
      </c>
      <c r="AT14" s="50" t="str">
        <f aca="true">IF(AND($J14&lt;&gt;"",AT$4&gt;=$J14,AT$4&lt;=IF($K14="",TODAY(),$K14),AT$67=0),"●","")</f>
        <v/>
      </c>
      <c r="AU14" s="50" t="str">
        <f aca="true">IF(AND($J14&lt;&gt;"",AU$4&gt;=$J14,AU$4&lt;=IF($K14="",TODAY(),$K14),AU$67=0),"●","")</f>
        <v/>
      </c>
      <c r="AV14" s="50" t="str">
        <f aca="true">IF(AND($J14&lt;&gt;"",AV$4&gt;=$J14,AV$4&lt;=IF($K14="",TODAY(),$K14),AV$67=0),"●","")</f>
        <v/>
      </c>
      <c r="AW14" s="50" t="str">
        <f aca="true">IF(AND($J14&lt;&gt;"",AW$4&gt;=$J14,AW$4&lt;=IF($K14="",TODAY(),$K14),AW$67=0),"●","")</f>
        <v/>
      </c>
      <c r="AX14" s="51" t="s">
        <v>189</v>
      </c>
    </row>
    <row r="15" customFormat="false" ht="15" hidden="false" customHeight="false" outlineLevel="0" collapsed="false">
      <c r="A15" s="24" t="s">
        <v>190</v>
      </c>
      <c r="B15" s="25" t="s">
        <v>190</v>
      </c>
      <c r="C15" s="25" t="s">
        <v>50</v>
      </c>
      <c r="D15" s="25"/>
      <c r="E15" s="25" t="n">
        <f aca="false">NETWORKDAYS(H15,I15,Holidays!$A$2:$A$40)</f>
        <v>12</v>
      </c>
      <c r="F15" s="25"/>
      <c r="G15" s="25"/>
      <c r="H15" s="55" t="n">
        <f aca="false">MIN(H16:H24)</f>
        <v>46304</v>
      </c>
      <c r="I15" s="55" t="n">
        <f aca="false">MAX(I16:I24)</f>
        <v>46322</v>
      </c>
      <c r="J15" s="25"/>
      <c r="K15" s="25"/>
      <c r="L15" s="25"/>
      <c r="M15" s="25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</row>
    <row r="16" customFormat="false" ht="15" hidden="false" customHeight="false" outlineLevel="0" collapsed="false">
      <c r="A16" s="47" t="s">
        <v>191</v>
      </c>
      <c r="B16" s="47" t="s">
        <v>190</v>
      </c>
      <c r="C16" s="47" t="s">
        <v>192</v>
      </c>
      <c r="D16" s="52" t="s">
        <v>37</v>
      </c>
      <c r="E16" s="47" t="n">
        <v>1</v>
      </c>
      <c r="F16" s="47" t="n">
        <v>1</v>
      </c>
      <c r="G16" s="47"/>
      <c r="H16" s="49" t="n">
        <v>46304</v>
      </c>
      <c r="I16" s="49" t="n">
        <f aca="false">WORKDAY(H16,E16-1,Holidays!$A$2:$A$40)</f>
        <v>46304</v>
      </c>
      <c r="J16" s="49" t="n">
        <f aca="false">IF('Project Status'!E16="","",'Project Status'!E16)</f>
        <v>46304</v>
      </c>
      <c r="K16" s="49" t="n">
        <f aca="false">IF('Project Status'!F16="","",'Project Status'!F16)</f>
        <v>46304</v>
      </c>
      <c r="L16" s="47" t="str">
        <f aca="false">IF('Project Status'!G16="","",'Project Status'!G16)</f>
        <v>Completed</v>
      </c>
      <c r="M16" s="47" t="n">
        <f aca="false">IF(OR(K16="",I16=""),"",IF(K16&gt;=I16,NETWORKDAYS(I16,K16,Holidays!$A$2:$A$40)-1,-(NETWORKDAYS(K16,I16,Holidays!$A$2:$A$40)-1)))</f>
        <v>0</v>
      </c>
      <c r="N16" s="50" t="str">
        <f aca="true">IF(AND($J16&lt;&gt;"",N$4&gt;=$J16,N$4&lt;=IF($K16="",TODAY(),$K16),N$67=0),"●","")</f>
        <v/>
      </c>
      <c r="O16" s="50" t="str">
        <f aca="true">IF(AND($J16&lt;&gt;"",O$4&gt;=$J16,O$4&lt;=IF($K16="",TODAY(),$K16),O$67=0),"●","")</f>
        <v/>
      </c>
      <c r="P16" s="50" t="str">
        <f aca="true">IF(AND($J16&lt;&gt;"",P$4&gt;=$J16,P$4&lt;=IF($K16="",TODAY(),$K16),P$67=0),"●","")</f>
        <v/>
      </c>
      <c r="Q16" s="50" t="str">
        <f aca="true">IF(AND($J16&lt;&gt;"",Q$4&gt;=$J16,Q$4&lt;=IF($K16="",TODAY(),$K16),Q$67=0),"●","")</f>
        <v/>
      </c>
      <c r="R16" s="50" t="str">
        <f aca="true">IF(AND($J16&lt;&gt;"",R$4&gt;=$J16,R$4&lt;=IF($K16="",TODAY(),$K16),R$67=0),"●","")</f>
        <v/>
      </c>
      <c r="S16" s="50" t="str">
        <f aca="true">IF(AND($J16&lt;&gt;"",S$4&gt;=$J16,S$4&lt;=IF($K16="",TODAY(),$K16),S$67=0),"●","")</f>
        <v/>
      </c>
      <c r="T16" s="50" t="str">
        <f aca="true">IF(AND($J16&lt;&gt;"",T$4&gt;=$J16,T$4&lt;=IF($K16="",TODAY(),$K16),T$67=0),"●","")</f>
        <v/>
      </c>
      <c r="U16" s="50" t="str">
        <f aca="true">IF(AND($J16&lt;&gt;"",U$4&gt;=$J16,U$4&lt;=IF($K16="",TODAY(),$K16),U$67=0),"●","")</f>
        <v/>
      </c>
      <c r="V16" s="50" t="str">
        <f aca="true">IF(AND($J16&lt;&gt;"",V$4&gt;=$J16,V$4&lt;=IF($K16="",TODAY(),$K16),V$67=0),"●","")</f>
        <v/>
      </c>
      <c r="W16" s="50" t="str">
        <f aca="true">IF(AND($J16&lt;&gt;"",W$4&gt;=$J16,W$4&lt;=IF($K16="",TODAY(),$K16),W$67=0),"●","")</f>
        <v/>
      </c>
      <c r="X16" s="50" t="str">
        <f aca="true">IF(AND($J16&lt;&gt;"",X$4&gt;=$J16,X$4&lt;=IF($K16="",TODAY(),$K16),X$67=0),"●","")</f>
        <v/>
      </c>
      <c r="Y16" s="50" t="str">
        <f aca="true">IF(AND($J16&lt;&gt;"",Y$4&gt;=$J16,Y$4&lt;=IF($K16="",TODAY(),$K16),Y$67=0),"●","")</f>
        <v/>
      </c>
      <c r="Z16" s="50" t="str">
        <f aca="true">IF(AND($J16&lt;&gt;"",Z$4&gt;=$J16,Z$4&lt;=IF($K16="",TODAY(),$K16),Z$67=0),"●","")</f>
        <v/>
      </c>
      <c r="AA16" s="50" t="str">
        <f aca="true">IF(AND($J16&lt;&gt;"",AA$4&gt;=$J16,AA$4&lt;=IF($K16="",TODAY(),$K16),AA$67=0),"●","")</f>
        <v/>
      </c>
      <c r="AB16" s="50" t="str">
        <f aca="true">IF(AND($J16&lt;&gt;"",AB$4&gt;=$J16,AB$4&lt;=IF($K16="",TODAY(),$K16),AB$67=0),"●","")</f>
        <v/>
      </c>
      <c r="AC16" s="50" t="str">
        <f aca="true">IF(AND($J16&lt;&gt;"",AC$4&gt;=$J16,AC$4&lt;=IF($K16="",TODAY(),$K16),AC$67=0),"●","")</f>
        <v/>
      </c>
      <c r="AD16" s="50" t="str">
        <f aca="true">IF(AND($J16&lt;&gt;"",AD$4&gt;=$J16,AD$4&lt;=IF($K16="",TODAY(),$K16),AD$67=0),"●","")</f>
        <v>●</v>
      </c>
      <c r="AE16" s="50" t="str">
        <f aca="true">IF(AND($J16&lt;&gt;"",AE$4&gt;=$J16,AE$4&lt;=IF($K16="",TODAY(),$K16),AE$67=0),"●","")</f>
        <v/>
      </c>
      <c r="AF16" s="50" t="str">
        <f aca="true">IF(AND($J16&lt;&gt;"",AF$4&gt;=$J16,AF$4&lt;=IF($K16="",TODAY(),$K16),AF$67=0),"●","")</f>
        <v/>
      </c>
      <c r="AG16" s="50" t="str">
        <f aca="true">IF(AND($J16&lt;&gt;"",AG$4&gt;=$J16,AG$4&lt;=IF($K16="",TODAY(),$K16),AG$67=0),"●","")</f>
        <v/>
      </c>
      <c r="AH16" s="50" t="str">
        <f aca="true">IF(AND($J16&lt;&gt;"",AH$4&gt;=$J16,AH$4&lt;=IF($K16="",TODAY(),$K16),AH$67=0),"●","")</f>
        <v/>
      </c>
      <c r="AI16" s="50" t="str">
        <f aca="true">IF(AND($J16&lt;&gt;"",AI$4&gt;=$J16,AI$4&lt;=IF($K16="",TODAY(),$K16),AI$67=0),"●","")</f>
        <v/>
      </c>
      <c r="AJ16" s="50" t="str">
        <f aca="true">IF(AND($J16&lt;&gt;"",AJ$4&gt;=$J16,AJ$4&lt;=IF($K16="",TODAY(),$K16),AJ$67=0),"●","")</f>
        <v/>
      </c>
      <c r="AK16" s="50" t="str">
        <f aca="true">IF(AND($J16&lt;&gt;"",AK$4&gt;=$J16,AK$4&lt;=IF($K16="",TODAY(),$K16),AK$67=0),"●","")</f>
        <v/>
      </c>
      <c r="AL16" s="50" t="str">
        <f aca="true">IF(AND($J16&lt;&gt;"",AL$4&gt;=$J16,AL$4&lt;=IF($K16="",TODAY(),$K16),AL$67=0),"●","")</f>
        <v/>
      </c>
      <c r="AM16" s="50" t="str">
        <f aca="true">IF(AND($J16&lt;&gt;"",AM$4&gt;=$J16,AM$4&lt;=IF($K16="",TODAY(),$K16),AM$67=0),"●","")</f>
        <v/>
      </c>
      <c r="AN16" s="50" t="str">
        <f aca="true">IF(AND($J16&lt;&gt;"",AN$4&gt;=$J16,AN$4&lt;=IF($K16="",TODAY(),$K16),AN$67=0),"●","")</f>
        <v/>
      </c>
      <c r="AO16" s="50" t="str">
        <f aca="true">IF(AND($J16&lt;&gt;"",AO$4&gt;=$J16,AO$4&lt;=IF($K16="",TODAY(),$K16),AO$67=0),"●","")</f>
        <v/>
      </c>
      <c r="AP16" s="50" t="str">
        <f aca="true">IF(AND($J16&lt;&gt;"",AP$4&gt;=$J16,AP$4&lt;=IF($K16="",TODAY(),$K16),AP$67=0),"●","")</f>
        <v/>
      </c>
      <c r="AQ16" s="50" t="str">
        <f aca="true">IF(AND($J16&lt;&gt;"",AQ$4&gt;=$J16,AQ$4&lt;=IF($K16="",TODAY(),$K16),AQ$67=0),"●","")</f>
        <v/>
      </c>
      <c r="AR16" s="50" t="str">
        <f aca="true">IF(AND($J16&lt;&gt;"",AR$4&gt;=$J16,AR$4&lt;=IF($K16="",TODAY(),$K16),AR$67=0),"●","")</f>
        <v/>
      </c>
      <c r="AS16" s="50" t="str">
        <f aca="true">IF(AND($J16&lt;&gt;"",AS$4&gt;=$J16,AS$4&lt;=IF($K16="",TODAY(),$K16),AS$67=0),"●","")</f>
        <v/>
      </c>
      <c r="AT16" s="50" t="str">
        <f aca="true">IF(AND($J16&lt;&gt;"",AT$4&gt;=$J16,AT$4&lt;=IF($K16="",TODAY(),$K16),AT$67=0),"●","")</f>
        <v/>
      </c>
      <c r="AU16" s="50" t="str">
        <f aca="true">IF(AND($J16&lt;&gt;"",AU$4&gt;=$J16,AU$4&lt;=IF($K16="",TODAY(),$K16),AU$67=0),"●","")</f>
        <v/>
      </c>
      <c r="AV16" s="50" t="str">
        <f aca="true">IF(AND($J16&lt;&gt;"",AV$4&gt;=$J16,AV$4&lt;=IF($K16="",TODAY(),$K16),AV$67=0),"●","")</f>
        <v/>
      </c>
      <c r="AW16" s="50" t="str">
        <f aca="true">IF(AND($J16&lt;&gt;"",AW$4&gt;=$J16,AW$4&lt;=IF($K16="",TODAY(),$K16),AW$67=0),"●","")</f>
        <v/>
      </c>
      <c r="AX16" s="51" t="s">
        <v>193</v>
      </c>
    </row>
    <row r="17" customFormat="false" ht="15" hidden="false" customHeight="false" outlineLevel="0" collapsed="false">
      <c r="A17" s="47" t="s">
        <v>194</v>
      </c>
      <c r="B17" s="47" t="s">
        <v>190</v>
      </c>
      <c r="C17" s="47" t="s">
        <v>195</v>
      </c>
      <c r="D17" s="54" t="s">
        <v>43</v>
      </c>
      <c r="E17" s="47" t="n">
        <v>1</v>
      </c>
      <c r="F17" s="47" t="n">
        <v>1</v>
      </c>
      <c r="G17" s="47" t="s">
        <v>191</v>
      </c>
      <c r="H17" s="49" t="n">
        <v>46304</v>
      </c>
      <c r="I17" s="49" t="n">
        <f aca="false">WORKDAY(H17,E17-1,Holidays!$A$2:$A$40)</f>
        <v>46304</v>
      </c>
      <c r="J17" s="49" t="n">
        <f aca="false">IF('Project Status'!E17="","",'Project Status'!E17)</f>
        <v>46303</v>
      </c>
      <c r="K17" s="49" t="n">
        <f aca="false">IF('Project Status'!F17="","",'Project Status'!F17)</f>
        <v>46304</v>
      </c>
      <c r="L17" s="47" t="str">
        <f aca="false">IF('Project Status'!G17="","",'Project Status'!G17)</f>
        <v>Completed</v>
      </c>
      <c r="M17" s="47" t="n">
        <f aca="false">IF(OR(K17="",I17=""),"",IF(K17&gt;=I17,NETWORKDAYS(I17,K17,Holidays!$A$2:$A$40)-1,-(NETWORKDAYS(K17,I17,Holidays!$A$2:$A$40)-1)))</f>
        <v>0</v>
      </c>
      <c r="N17" s="50" t="str">
        <f aca="true">IF(AND($J17&lt;&gt;"",N$4&gt;=$J17,N$4&lt;=IF($K17="",TODAY(),$K17),N$67=0),"●","")</f>
        <v/>
      </c>
      <c r="O17" s="50" t="str">
        <f aca="true">IF(AND($J17&lt;&gt;"",O$4&gt;=$J17,O$4&lt;=IF($K17="",TODAY(),$K17),O$67=0),"●","")</f>
        <v/>
      </c>
      <c r="P17" s="50" t="str">
        <f aca="true">IF(AND($J17&lt;&gt;"",P$4&gt;=$J17,P$4&lt;=IF($K17="",TODAY(),$K17),P$67=0),"●","")</f>
        <v/>
      </c>
      <c r="Q17" s="50" t="str">
        <f aca="true">IF(AND($J17&lt;&gt;"",Q$4&gt;=$J17,Q$4&lt;=IF($K17="",TODAY(),$K17),Q$67=0),"●","")</f>
        <v/>
      </c>
      <c r="R17" s="50" t="str">
        <f aca="true">IF(AND($J17&lt;&gt;"",R$4&gt;=$J17,R$4&lt;=IF($K17="",TODAY(),$K17),R$67=0),"●","")</f>
        <v/>
      </c>
      <c r="S17" s="50" t="str">
        <f aca="true">IF(AND($J17&lt;&gt;"",S$4&gt;=$J17,S$4&lt;=IF($K17="",TODAY(),$K17),S$67=0),"●","")</f>
        <v/>
      </c>
      <c r="T17" s="50" t="str">
        <f aca="true">IF(AND($J17&lt;&gt;"",T$4&gt;=$J17,T$4&lt;=IF($K17="",TODAY(),$K17),T$67=0),"●","")</f>
        <v/>
      </c>
      <c r="U17" s="50" t="str">
        <f aca="true">IF(AND($J17&lt;&gt;"",U$4&gt;=$J17,U$4&lt;=IF($K17="",TODAY(),$K17),U$67=0),"●","")</f>
        <v/>
      </c>
      <c r="V17" s="50" t="str">
        <f aca="true">IF(AND($J17&lt;&gt;"",V$4&gt;=$J17,V$4&lt;=IF($K17="",TODAY(),$K17),V$67=0),"●","")</f>
        <v/>
      </c>
      <c r="W17" s="50" t="str">
        <f aca="true">IF(AND($J17&lt;&gt;"",W$4&gt;=$J17,W$4&lt;=IF($K17="",TODAY(),$K17),W$67=0),"●","")</f>
        <v/>
      </c>
      <c r="X17" s="50" t="str">
        <f aca="true">IF(AND($J17&lt;&gt;"",X$4&gt;=$J17,X$4&lt;=IF($K17="",TODAY(),$K17),X$67=0),"●","")</f>
        <v/>
      </c>
      <c r="Y17" s="50" t="str">
        <f aca="true">IF(AND($J17&lt;&gt;"",Y$4&gt;=$J17,Y$4&lt;=IF($K17="",TODAY(),$K17),Y$67=0),"●","")</f>
        <v/>
      </c>
      <c r="Z17" s="50" t="str">
        <f aca="true">IF(AND($J17&lt;&gt;"",Z$4&gt;=$J17,Z$4&lt;=IF($K17="",TODAY(),$K17),Z$67=0),"●","")</f>
        <v/>
      </c>
      <c r="AA17" s="50" t="str">
        <f aca="true">IF(AND($J17&lt;&gt;"",AA$4&gt;=$J17,AA$4&lt;=IF($K17="",TODAY(),$K17),AA$67=0),"●","")</f>
        <v/>
      </c>
      <c r="AB17" s="50" t="str">
        <f aca="true">IF(AND($J17&lt;&gt;"",AB$4&gt;=$J17,AB$4&lt;=IF($K17="",TODAY(),$K17),AB$67=0),"●","")</f>
        <v/>
      </c>
      <c r="AC17" s="50" t="str">
        <f aca="true">IF(AND($J17&lt;&gt;"",AC$4&gt;=$J17,AC$4&lt;=IF($K17="",TODAY(),$K17),AC$67=0),"●","")</f>
        <v>●</v>
      </c>
      <c r="AD17" s="50" t="str">
        <f aca="true">IF(AND($J17&lt;&gt;"",AD$4&gt;=$J17,AD$4&lt;=IF($K17="",TODAY(),$K17),AD$67=0),"●","")</f>
        <v>●</v>
      </c>
      <c r="AE17" s="50" t="str">
        <f aca="true">IF(AND($J17&lt;&gt;"",AE$4&gt;=$J17,AE$4&lt;=IF($K17="",TODAY(),$K17),AE$67=0),"●","")</f>
        <v/>
      </c>
      <c r="AF17" s="50" t="str">
        <f aca="true">IF(AND($J17&lt;&gt;"",AF$4&gt;=$J17,AF$4&lt;=IF($K17="",TODAY(),$K17),AF$67=0),"●","")</f>
        <v/>
      </c>
      <c r="AG17" s="50" t="str">
        <f aca="true">IF(AND($J17&lt;&gt;"",AG$4&gt;=$J17,AG$4&lt;=IF($K17="",TODAY(),$K17),AG$67=0),"●","")</f>
        <v/>
      </c>
      <c r="AH17" s="50" t="str">
        <f aca="true">IF(AND($J17&lt;&gt;"",AH$4&gt;=$J17,AH$4&lt;=IF($K17="",TODAY(),$K17),AH$67=0),"●","")</f>
        <v/>
      </c>
      <c r="AI17" s="50" t="str">
        <f aca="true">IF(AND($J17&lt;&gt;"",AI$4&gt;=$J17,AI$4&lt;=IF($K17="",TODAY(),$K17),AI$67=0),"●","")</f>
        <v/>
      </c>
      <c r="AJ17" s="50" t="str">
        <f aca="true">IF(AND($J17&lt;&gt;"",AJ$4&gt;=$J17,AJ$4&lt;=IF($K17="",TODAY(),$K17),AJ$67=0),"●","")</f>
        <v/>
      </c>
      <c r="AK17" s="50" t="str">
        <f aca="true">IF(AND($J17&lt;&gt;"",AK$4&gt;=$J17,AK$4&lt;=IF($K17="",TODAY(),$K17),AK$67=0),"●","")</f>
        <v/>
      </c>
      <c r="AL17" s="50" t="str">
        <f aca="true">IF(AND($J17&lt;&gt;"",AL$4&gt;=$J17,AL$4&lt;=IF($K17="",TODAY(),$K17),AL$67=0),"●","")</f>
        <v/>
      </c>
      <c r="AM17" s="50" t="str">
        <f aca="true">IF(AND($J17&lt;&gt;"",AM$4&gt;=$J17,AM$4&lt;=IF($K17="",TODAY(),$K17),AM$67=0),"●","")</f>
        <v/>
      </c>
      <c r="AN17" s="50" t="str">
        <f aca="true">IF(AND($J17&lt;&gt;"",AN$4&gt;=$J17,AN$4&lt;=IF($K17="",TODAY(),$K17),AN$67=0),"●","")</f>
        <v/>
      </c>
      <c r="AO17" s="50" t="str">
        <f aca="true">IF(AND($J17&lt;&gt;"",AO$4&gt;=$J17,AO$4&lt;=IF($K17="",TODAY(),$K17),AO$67=0),"●","")</f>
        <v/>
      </c>
      <c r="AP17" s="50" t="str">
        <f aca="true">IF(AND($J17&lt;&gt;"",AP$4&gt;=$J17,AP$4&lt;=IF($K17="",TODAY(),$K17),AP$67=0),"●","")</f>
        <v/>
      </c>
      <c r="AQ17" s="50" t="str">
        <f aca="true">IF(AND($J17&lt;&gt;"",AQ$4&gt;=$J17,AQ$4&lt;=IF($K17="",TODAY(),$K17),AQ$67=0),"●","")</f>
        <v/>
      </c>
      <c r="AR17" s="50" t="str">
        <f aca="true">IF(AND($J17&lt;&gt;"",AR$4&gt;=$J17,AR$4&lt;=IF($K17="",TODAY(),$K17),AR$67=0),"●","")</f>
        <v/>
      </c>
      <c r="AS17" s="50" t="str">
        <f aca="true">IF(AND($J17&lt;&gt;"",AS$4&gt;=$J17,AS$4&lt;=IF($K17="",TODAY(),$K17),AS$67=0),"●","")</f>
        <v/>
      </c>
      <c r="AT17" s="50" t="str">
        <f aca="true">IF(AND($J17&lt;&gt;"",AT$4&gt;=$J17,AT$4&lt;=IF($K17="",TODAY(),$K17),AT$67=0),"●","")</f>
        <v/>
      </c>
      <c r="AU17" s="50" t="str">
        <f aca="true">IF(AND($J17&lt;&gt;"",AU$4&gt;=$J17,AU$4&lt;=IF($K17="",TODAY(),$K17),AU$67=0),"●","")</f>
        <v/>
      </c>
      <c r="AV17" s="50" t="str">
        <f aca="true">IF(AND($J17&lt;&gt;"",AV$4&gt;=$J17,AV$4&lt;=IF($K17="",TODAY(),$K17),AV$67=0),"●","")</f>
        <v/>
      </c>
      <c r="AW17" s="50" t="str">
        <f aca="true">IF(AND($J17&lt;&gt;"",AW$4&gt;=$J17,AW$4&lt;=IF($K17="",TODAY(),$K17),AW$67=0),"●","")</f>
        <v/>
      </c>
      <c r="AX17" s="51" t="s">
        <v>196</v>
      </c>
    </row>
    <row r="18" customFormat="false" ht="15" hidden="false" customHeight="false" outlineLevel="0" collapsed="false">
      <c r="A18" s="47" t="s">
        <v>197</v>
      </c>
      <c r="B18" s="47" t="s">
        <v>190</v>
      </c>
      <c r="C18" s="47" t="s">
        <v>198</v>
      </c>
      <c r="D18" s="56" t="s">
        <v>56</v>
      </c>
      <c r="E18" s="47" t="n">
        <v>1</v>
      </c>
      <c r="F18" s="47" t="n">
        <v>1</v>
      </c>
      <c r="G18" s="47" t="s">
        <v>191</v>
      </c>
      <c r="H18" s="49" t="n">
        <v>46304</v>
      </c>
      <c r="I18" s="49" t="n">
        <f aca="false">WORKDAY(H18,E18-1,Holidays!$A$2:$A$40)</f>
        <v>46304</v>
      </c>
      <c r="J18" s="49" t="n">
        <f aca="false">IF('Project Status'!E18="","",'Project Status'!E18)</f>
        <v>46303</v>
      </c>
      <c r="K18" s="49" t="n">
        <f aca="false">IF('Project Status'!F18="","",'Project Status'!F18)</f>
        <v>46303</v>
      </c>
      <c r="L18" s="47" t="str">
        <f aca="false">IF('Project Status'!G18="","",'Project Status'!G18)</f>
        <v>Completed</v>
      </c>
      <c r="M18" s="47" t="n">
        <f aca="false">IF(OR(K18="",I18=""),"",IF(K18&gt;=I18,NETWORKDAYS(I18,K18,Holidays!$A$2:$A$40)-1,-(NETWORKDAYS(K18,I18,Holidays!$A$2:$A$40)-1)))</f>
        <v>-1</v>
      </c>
      <c r="N18" s="50" t="str">
        <f aca="true">IF(AND($J18&lt;&gt;"",N$4&gt;=$J18,N$4&lt;=IF($K18="",TODAY(),$K18),N$67=0),"●","")</f>
        <v/>
      </c>
      <c r="O18" s="50" t="str">
        <f aca="true">IF(AND($J18&lt;&gt;"",O$4&gt;=$J18,O$4&lt;=IF($K18="",TODAY(),$K18),O$67=0),"●","")</f>
        <v/>
      </c>
      <c r="P18" s="50" t="str">
        <f aca="true">IF(AND($J18&lt;&gt;"",P$4&gt;=$J18,P$4&lt;=IF($K18="",TODAY(),$K18),P$67=0),"●","")</f>
        <v/>
      </c>
      <c r="Q18" s="50" t="str">
        <f aca="true">IF(AND($J18&lt;&gt;"",Q$4&gt;=$J18,Q$4&lt;=IF($K18="",TODAY(),$K18),Q$67=0),"●","")</f>
        <v/>
      </c>
      <c r="R18" s="50" t="str">
        <f aca="true">IF(AND($J18&lt;&gt;"",R$4&gt;=$J18,R$4&lt;=IF($K18="",TODAY(),$K18),R$67=0),"●","")</f>
        <v/>
      </c>
      <c r="S18" s="50" t="str">
        <f aca="true">IF(AND($J18&lt;&gt;"",S$4&gt;=$J18,S$4&lt;=IF($K18="",TODAY(),$K18),S$67=0),"●","")</f>
        <v/>
      </c>
      <c r="T18" s="50" t="str">
        <f aca="true">IF(AND($J18&lt;&gt;"",T$4&gt;=$J18,T$4&lt;=IF($K18="",TODAY(),$K18),T$67=0),"●","")</f>
        <v/>
      </c>
      <c r="U18" s="50" t="str">
        <f aca="true">IF(AND($J18&lt;&gt;"",U$4&gt;=$J18,U$4&lt;=IF($K18="",TODAY(),$K18),U$67=0),"●","")</f>
        <v/>
      </c>
      <c r="V18" s="50" t="str">
        <f aca="true">IF(AND($J18&lt;&gt;"",V$4&gt;=$J18,V$4&lt;=IF($K18="",TODAY(),$K18),V$67=0),"●","")</f>
        <v/>
      </c>
      <c r="W18" s="50" t="str">
        <f aca="true">IF(AND($J18&lt;&gt;"",W$4&gt;=$J18,W$4&lt;=IF($K18="",TODAY(),$K18),W$67=0),"●","")</f>
        <v/>
      </c>
      <c r="X18" s="50" t="str">
        <f aca="true">IF(AND($J18&lt;&gt;"",X$4&gt;=$J18,X$4&lt;=IF($K18="",TODAY(),$K18),X$67=0),"●","")</f>
        <v/>
      </c>
      <c r="Y18" s="50" t="str">
        <f aca="true">IF(AND($J18&lt;&gt;"",Y$4&gt;=$J18,Y$4&lt;=IF($K18="",TODAY(),$K18),Y$67=0),"●","")</f>
        <v/>
      </c>
      <c r="Z18" s="50" t="str">
        <f aca="true">IF(AND($J18&lt;&gt;"",Z$4&gt;=$J18,Z$4&lt;=IF($K18="",TODAY(),$K18),Z$67=0),"●","")</f>
        <v/>
      </c>
      <c r="AA18" s="50" t="str">
        <f aca="true">IF(AND($J18&lt;&gt;"",AA$4&gt;=$J18,AA$4&lt;=IF($K18="",TODAY(),$K18),AA$67=0),"●","")</f>
        <v/>
      </c>
      <c r="AB18" s="50" t="str">
        <f aca="true">IF(AND($J18&lt;&gt;"",AB$4&gt;=$J18,AB$4&lt;=IF($K18="",TODAY(),$K18),AB$67=0),"●","")</f>
        <v/>
      </c>
      <c r="AC18" s="50" t="str">
        <f aca="true">IF(AND($J18&lt;&gt;"",AC$4&gt;=$J18,AC$4&lt;=IF($K18="",TODAY(),$K18),AC$67=0),"●","")</f>
        <v>●</v>
      </c>
      <c r="AD18" s="50" t="str">
        <f aca="true">IF(AND($J18&lt;&gt;"",AD$4&gt;=$J18,AD$4&lt;=IF($K18="",TODAY(),$K18),AD$67=0),"●","")</f>
        <v/>
      </c>
      <c r="AE18" s="50" t="str">
        <f aca="true">IF(AND($J18&lt;&gt;"",AE$4&gt;=$J18,AE$4&lt;=IF($K18="",TODAY(),$K18),AE$67=0),"●","")</f>
        <v/>
      </c>
      <c r="AF18" s="50" t="str">
        <f aca="true">IF(AND($J18&lt;&gt;"",AF$4&gt;=$J18,AF$4&lt;=IF($K18="",TODAY(),$K18),AF$67=0),"●","")</f>
        <v/>
      </c>
      <c r="AG18" s="50" t="str">
        <f aca="true">IF(AND($J18&lt;&gt;"",AG$4&gt;=$J18,AG$4&lt;=IF($K18="",TODAY(),$K18),AG$67=0),"●","")</f>
        <v/>
      </c>
      <c r="AH18" s="50" t="str">
        <f aca="true">IF(AND($J18&lt;&gt;"",AH$4&gt;=$J18,AH$4&lt;=IF($K18="",TODAY(),$K18),AH$67=0),"●","")</f>
        <v/>
      </c>
      <c r="AI18" s="50" t="str">
        <f aca="true">IF(AND($J18&lt;&gt;"",AI$4&gt;=$J18,AI$4&lt;=IF($K18="",TODAY(),$K18),AI$67=0),"●","")</f>
        <v/>
      </c>
      <c r="AJ18" s="50" t="str">
        <f aca="true">IF(AND($J18&lt;&gt;"",AJ$4&gt;=$J18,AJ$4&lt;=IF($K18="",TODAY(),$K18),AJ$67=0),"●","")</f>
        <v/>
      </c>
      <c r="AK18" s="50" t="str">
        <f aca="true">IF(AND($J18&lt;&gt;"",AK$4&gt;=$J18,AK$4&lt;=IF($K18="",TODAY(),$K18),AK$67=0),"●","")</f>
        <v/>
      </c>
      <c r="AL18" s="50" t="str">
        <f aca="true">IF(AND($J18&lt;&gt;"",AL$4&gt;=$J18,AL$4&lt;=IF($K18="",TODAY(),$K18),AL$67=0),"●","")</f>
        <v/>
      </c>
      <c r="AM18" s="50" t="str">
        <f aca="true">IF(AND($J18&lt;&gt;"",AM$4&gt;=$J18,AM$4&lt;=IF($K18="",TODAY(),$K18),AM$67=0),"●","")</f>
        <v/>
      </c>
      <c r="AN18" s="50" t="str">
        <f aca="true">IF(AND($J18&lt;&gt;"",AN$4&gt;=$J18,AN$4&lt;=IF($K18="",TODAY(),$K18),AN$67=0),"●","")</f>
        <v/>
      </c>
      <c r="AO18" s="50" t="str">
        <f aca="true">IF(AND($J18&lt;&gt;"",AO$4&gt;=$J18,AO$4&lt;=IF($K18="",TODAY(),$K18),AO$67=0),"●","")</f>
        <v/>
      </c>
      <c r="AP18" s="50" t="str">
        <f aca="true">IF(AND($J18&lt;&gt;"",AP$4&gt;=$J18,AP$4&lt;=IF($K18="",TODAY(),$K18),AP$67=0),"●","")</f>
        <v/>
      </c>
      <c r="AQ18" s="50" t="str">
        <f aca="true">IF(AND($J18&lt;&gt;"",AQ$4&gt;=$J18,AQ$4&lt;=IF($K18="",TODAY(),$K18),AQ$67=0),"●","")</f>
        <v/>
      </c>
      <c r="AR18" s="50" t="str">
        <f aca="true">IF(AND($J18&lt;&gt;"",AR$4&gt;=$J18,AR$4&lt;=IF($K18="",TODAY(),$K18),AR$67=0),"●","")</f>
        <v/>
      </c>
      <c r="AS18" s="50" t="str">
        <f aca="true">IF(AND($J18&lt;&gt;"",AS$4&gt;=$J18,AS$4&lt;=IF($K18="",TODAY(),$K18),AS$67=0),"●","")</f>
        <v/>
      </c>
      <c r="AT18" s="50" t="str">
        <f aca="true">IF(AND($J18&lt;&gt;"",AT$4&gt;=$J18,AT$4&lt;=IF($K18="",TODAY(),$K18),AT$67=0),"●","")</f>
        <v/>
      </c>
      <c r="AU18" s="50" t="str">
        <f aca="true">IF(AND($J18&lt;&gt;"",AU$4&gt;=$J18,AU$4&lt;=IF($K18="",TODAY(),$K18),AU$67=0),"●","")</f>
        <v/>
      </c>
      <c r="AV18" s="50" t="str">
        <f aca="true">IF(AND($J18&lt;&gt;"",AV$4&gt;=$J18,AV$4&lt;=IF($K18="",TODAY(),$K18),AV$67=0),"●","")</f>
        <v/>
      </c>
      <c r="AW18" s="50" t="str">
        <f aca="true">IF(AND($J18&lt;&gt;"",AW$4&gt;=$J18,AW$4&lt;=IF($K18="",TODAY(),$K18),AW$67=0),"●","")</f>
        <v/>
      </c>
      <c r="AX18" s="51" t="s">
        <v>199</v>
      </c>
    </row>
    <row r="19" customFormat="false" ht="15" hidden="false" customHeight="false" outlineLevel="0" collapsed="false">
      <c r="A19" s="47" t="s">
        <v>200</v>
      </c>
      <c r="B19" s="47" t="s">
        <v>190</v>
      </c>
      <c r="C19" s="47" t="s">
        <v>201</v>
      </c>
      <c r="D19" s="57" t="s">
        <v>59</v>
      </c>
      <c r="E19" s="47" t="n">
        <v>1</v>
      </c>
      <c r="F19" s="47" t="n">
        <v>1</v>
      </c>
      <c r="G19" s="47" t="s">
        <v>191</v>
      </c>
      <c r="H19" s="49" t="n">
        <v>46304</v>
      </c>
      <c r="I19" s="49" t="n">
        <f aca="false">WORKDAY(H19,E19-1,Holidays!$A$2:$A$40)</f>
        <v>46304</v>
      </c>
      <c r="J19" s="49" t="n">
        <f aca="false">IF('Project Status'!E19="","",'Project Status'!E19)</f>
        <v>46303</v>
      </c>
      <c r="K19" s="49" t="n">
        <f aca="false">IF('Project Status'!F19="","",'Project Status'!F19)</f>
        <v>46303</v>
      </c>
      <c r="L19" s="47" t="str">
        <f aca="false">IF('Project Status'!G19="","",'Project Status'!G19)</f>
        <v>Completed</v>
      </c>
      <c r="M19" s="47" t="n">
        <f aca="false">IF(OR(K19="",I19=""),"",IF(K19&gt;=I19,NETWORKDAYS(I19,K19,Holidays!$A$2:$A$40)-1,-(NETWORKDAYS(K19,I19,Holidays!$A$2:$A$40)-1)))</f>
        <v>-1</v>
      </c>
      <c r="N19" s="50" t="str">
        <f aca="true">IF(AND($J19&lt;&gt;"",N$4&gt;=$J19,N$4&lt;=IF($K19="",TODAY(),$K19),N$67=0),"●","")</f>
        <v/>
      </c>
      <c r="O19" s="50" t="str">
        <f aca="true">IF(AND($J19&lt;&gt;"",O$4&gt;=$J19,O$4&lt;=IF($K19="",TODAY(),$K19),O$67=0),"●","")</f>
        <v/>
      </c>
      <c r="P19" s="50" t="str">
        <f aca="true">IF(AND($J19&lt;&gt;"",P$4&gt;=$J19,P$4&lt;=IF($K19="",TODAY(),$K19),P$67=0),"●","")</f>
        <v/>
      </c>
      <c r="Q19" s="50" t="str">
        <f aca="true">IF(AND($J19&lt;&gt;"",Q$4&gt;=$J19,Q$4&lt;=IF($K19="",TODAY(),$K19),Q$67=0),"●","")</f>
        <v/>
      </c>
      <c r="R19" s="50" t="str">
        <f aca="true">IF(AND($J19&lt;&gt;"",R$4&gt;=$J19,R$4&lt;=IF($K19="",TODAY(),$K19),R$67=0),"●","")</f>
        <v/>
      </c>
      <c r="S19" s="50" t="str">
        <f aca="true">IF(AND($J19&lt;&gt;"",S$4&gt;=$J19,S$4&lt;=IF($K19="",TODAY(),$K19),S$67=0),"●","")</f>
        <v/>
      </c>
      <c r="T19" s="50" t="str">
        <f aca="true">IF(AND($J19&lt;&gt;"",T$4&gt;=$J19,T$4&lt;=IF($K19="",TODAY(),$K19),T$67=0),"●","")</f>
        <v/>
      </c>
      <c r="U19" s="50" t="str">
        <f aca="true">IF(AND($J19&lt;&gt;"",U$4&gt;=$J19,U$4&lt;=IF($K19="",TODAY(),$K19),U$67=0),"●","")</f>
        <v/>
      </c>
      <c r="V19" s="50" t="str">
        <f aca="true">IF(AND($J19&lt;&gt;"",V$4&gt;=$J19,V$4&lt;=IF($K19="",TODAY(),$K19),V$67=0),"●","")</f>
        <v/>
      </c>
      <c r="W19" s="50" t="str">
        <f aca="true">IF(AND($J19&lt;&gt;"",W$4&gt;=$J19,W$4&lt;=IF($K19="",TODAY(),$K19),W$67=0),"●","")</f>
        <v/>
      </c>
      <c r="X19" s="50" t="str">
        <f aca="true">IF(AND($J19&lt;&gt;"",X$4&gt;=$J19,X$4&lt;=IF($K19="",TODAY(),$K19),X$67=0),"●","")</f>
        <v/>
      </c>
      <c r="Y19" s="50" t="str">
        <f aca="true">IF(AND($J19&lt;&gt;"",Y$4&gt;=$J19,Y$4&lt;=IF($K19="",TODAY(),$K19),Y$67=0),"●","")</f>
        <v/>
      </c>
      <c r="Z19" s="50" t="str">
        <f aca="true">IF(AND($J19&lt;&gt;"",Z$4&gt;=$J19,Z$4&lt;=IF($K19="",TODAY(),$K19),Z$67=0),"●","")</f>
        <v/>
      </c>
      <c r="AA19" s="50" t="str">
        <f aca="true">IF(AND($J19&lt;&gt;"",AA$4&gt;=$J19,AA$4&lt;=IF($K19="",TODAY(),$K19),AA$67=0),"●","")</f>
        <v/>
      </c>
      <c r="AB19" s="50" t="str">
        <f aca="true">IF(AND($J19&lt;&gt;"",AB$4&gt;=$J19,AB$4&lt;=IF($K19="",TODAY(),$K19),AB$67=0),"●","")</f>
        <v/>
      </c>
      <c r="AC19" s="50" t="str">
        <f aca="true">IF(AND($J19&lt;&gt;"",AC$4&gt;=$J19,AC$4&lt;=IF($K19="",TODAY(),$K19),AC$67=0),"●","")</f>
        <v>●</v>
      </c>
      <c r="AD19" s="50" t="str">
        <f aca="true">IF(AND($J19&lt;&gt;"",AD$4&gt;=$J19,AD$4&lt;=IF($K19="",TODAY(),$K19),AD$67=0),"●","")</f>
        <v/>
      </c>
      <c r="AE19" s="50" t="str">
        <f aca="true">IF(AND($J19&lt;&gt;"",AE$4&gt;=$J19,AE$4&lt;=IF($K19="",TODAY(),$K19),AE$67=0),"●","")</f>
        <v/>
      </c>
      <c r="AF19" s="50" t="str">
        <f aca="true">IF(AND($J19&lt;&gt;"",AF$4&gt;=$J19,AF$4&lt;=IF($K19="",TODAY(),$K19),AF$67=0),"●","")</f>
        <v/>
      </c>
      <c r="AG19" s="50" t="str">
        <f aca="true">IF(AND($J19&lt;&gt;"",AG$4&gt;=$J19,AG$4&lt;=IF($K19="",TODAY(),$K19),AG$67=0),"●","")</f>
        <v/>
      </c>
      <c r="AH19" s="50" t="str">
        <f aca="true">IF(AND($J19&lt;&gt;"",AH$4&gt;=$J19,AH$4&lt;=IF($K19="",TODAY(),$K19),AH$67=0),"●","")</f>
        <v/>
      </c>
      <c r="AI19" s="50" t="str">
        <f aca="true">IF(AND($J19&lt;&gt;"",AI$4&gt;=$J19,AI$4&lt;=IF($K19="",TODAY(),$K19),AI$67=0),"●","")</f>
        <v/>
      </c>
      <c r="AJ19" s="50" t="str">
        <f aca="true">IF(AND($J19&lt;&gt;"",AJ$4&gt;=$J19,AJ$4&lt;=IF($K19="",TODAY(),$K19),AJ$67=0),"●","")</f>
        <v/>
      </c>
      <c r="AK19" s="50" t="str">
        <f aca="true">IF(AND($J19&lt;&gt;"",AK$4&gt;=$J19,AK$4&lt;=IF($K19="",TODAY(),$K19),AK$67=0),"●","")</f>
        <v/>
      </c>
      <c r="AL19" s="50" t="str">
        <f aca="true">IF(AND($J19&lt;&gt;"",AL$4&gt;=$J19,AL$4&lt;=IF($K19="",TODAY(),$K19),AL$67=0),"●","")</f>
        <v/>
      </c>
      <c r="AM19" s="50" t="str">
        <f aca="true">IF(AND($J19&lt;&gt;"",AM$4&gt;=$J19,AM$4&lt;=IF($K19="",TODAY(),$K19),AM$67=0),"●","")</f>
        <v/>
      </c>
      <c r="AN19" s="50" t="str">
        <f aca="true">IF(AND($J19&lt;&gt;"",AN$4&gt;=$J19,AN$4&lt;=IF($K19="",TODAY(),$K19),AN$67=0),"●","")</f>
        <v/>
      </c>
      <c r="AO19" s="50" t="str">
        <f aca="true">IF(AND($J19&lt;&gt;"",AO$4&gt;=$J19,AO$4&lt;=IF($K19="",TODAY(),$K19),AO$67=0),"●","")</f>
        <v/>
      </c>
      <c r="AP19" s="50" t="str">
        <f aca="true">IF(AND($J19&lt;&gt;"",AP$4&gt;=$J19,AP$4&lt;=IF($K19="",TODAY(),$K19),AP$67=0),"●","")</f>
        <v/>
      </c>
      <c r="AQ19" s="50" t="str">
        <f aca="true">IF(AND($J19&lt;&gt;"",AQ$4&gt;=$J19,AQ$4&lt;=IF($K19="",TODAY(),$K19),AQ$67=0),"●","")</f>
        <v/>
      </c>
      <c r="AR19" s="50" t="str">
        <f aca="true">IF(AND($J19&lt;&gt;"",AR$4&gt;=$J19,AR$4&lt;=IF($K19="",TODAY(),$K19),AR$67=0),"●","")</f>
        <v/>
      </c>
      <c r="AS19" s="50" t="str">
        <f aca="true">IF(AND($J19&lt;&gt;"",AS$4&gt;=$J19,AS$4&lt;=IF($K19="",TODAY(),$K19),AS$67=0),"●","")</f>
        <v/>
      </c>
      <c r="AT19" s="50" t="str">
        <f aca="true">IF(AND($J19&lt;&gt;"",AT$4&gt;=$J19,AT$4&lt;=IF($K19="",TODAY(),$K19),AT$67=0),"●","")</f>
        <v/>
      </c>
      <c r="AU19" s="50" t="str">
        <f aca="true">IF(AND($J19&lt;&gt;"",AU$4&gt;=$J19,AU$4&lt;=IF($K19="",TODAY(),$K19),AU$67=0),"●","")</f>
        <v/>
      </c>
      <c r="AV19" s="50" t="str">
        <f aca="true">IF(AND($J19&lt;&gt;"",AV$4&gt;=$J19,AV$4&lt;=IF($K19="",TODAY(),$K19),AV$67=0),"●","")</f>
        <v/>
      </c>
      <c r="AW19" s="50" t="str">
        <f aca="true">IF(AND($J19&lt;&gt;"",AW$4&gt;=$J19,AW$4&lt;=IF($K19="",TODAY(),$K19),AW$67=0),"●","")</f>
        <v/>
      </c>
      <c r="AX19" s="51" t="s">
        <v>202</v>
      </c>
    </row>
    <row r="20" customFormat="false" ht="15" hidden="false" customHeight="false" outlineLevel="0" collapsed="false">
      <c r="A20" s="47" t="s">
        <v>203</v>
      </c>
      <c r="B20" s="47" t="s">
        <v>190</v>
      </c>
      <c r="C20" s="47" t="s">
        <v>204</v>
      </c>
      <c r="D20" s="48" t="s">
        <v>33</v>
      </c>
      <c r="E20" s="47" t="n">
        <v>1</v>
      </c>
      <c r="F20" s="47" t="n">
        <v>1</v>
      </c>
      <c r="G20" s="47" t="s">
        <v>191</v>
      </c>
      <c r="H20" s="49" t="n">
        <v>46304</v>
      </c>
      <c r="I20" s="49" t="n">
        <f aca="false">WORKDAY(H20,E20-1,Holidays!$A$2:$A$40)</f>
        <v>46304</v>
      </c>
      <c r="J20" s="49" t="n">
        <f aca="false">IF('Project Status'!E20="","",'Project Status'!E20)</f>
        <v>46303</v>
      </c>
      <c r="K20" s="49" t="n">
        <f aca="false">IF('Project Status'!F20="","",'Project Status'!F20)</f>
        <v>46304</v>
      </c>
      <c r="L20" s="47" t="str">
        <f aca="false">IF('Project Status'!G20="","",'Project Status'!G20)</f>
        <v>Completed</v>
      </c>
      <c r="M20" s="47" t="n">
        <f aca="false">IF(OR(K20="",I20=""),"",IF(K20&gt;=I20,NETWORKDAYS(I20,K20,Holidays!$A$2:$A$40)-1,-(NETWORKDAYS(K20,I20,Holidays!$A$2:$A$40)-1)))</f>
        <v>0</v>
      </c>
      <c r="N20" s="50" t="str">
        <f aca="true">IF(AND($J20&lt;&gt;"",N$4&gt;=$J20,N$4&lt;=IF($K20="",TODAY(),$K20),N$67=0),"●","")</f>
        <v/>
      </c>
      <c r="O20" s="50" t="str">
        <f aca="true">IF(AND($J20&lt;&gt;"",O$4&gt;=$J20,O$4&lt;=IF($K20="",TODAY(),$K20),O$67=0),"●","")</f>
        <v/>
      </c>
      <c r="P20" s="50" t="str">
        <f aca="true">IF(AND($J20&lt;&gt;"",P$4&gt;=$J20,P$4&lt;=IF($K20="",TODAY(),$K20),P$67=0),"●","")</f>
        <v/>
      </c>
      <c r="Q20" s="50" t="str">
        <f aca="true">IF(AND($J20&lt;&gt;"",Q$4&gt;=$J20,Q$4&lt;=IF($K20="",TODAY(),$K20),Q$67=0),"●","")</f>
        <v/>
      </c>
      <c r="R20" s="50" t="str">
        <f aca="true">IF(AND($J20&lt;&gt;"",R$4&gt;=$J20,R$4&lt;=IF($K20="",TODAY(),$K20),R$67=0),"●","")</f>
        <v/>
      </c>
      <c r="S20" s="50" t="str">
        <f aca="true">IF(AND($J20&lt;&gt;"",S$4&gt;=$J20,S$4&lt;=IF($K20="",TODAY(),$K20),S$67=0),"●","")</f>
        <v/>
      </c>
      <c r="T20" s="50" t="str">
        <f aca="true">IF(AND($J20&lt;&gt;"",T$4&gt;=$J20,T$4&lt;=IF($K20="",TODAY(),$K20),T$67=0),"●","")</f>
        <v/>
      </c>
      <c r="U20" s="50" t="str">
        <f aca="true">IF(AND($J20&lt;&gt;"",U$4&gt;=$J20,U$4&lt;=IF($K20="",TODAY(),$K20),U$67=0),"●","")</f>
        <v/>
      </c>
      <c r="V20" s="50" t="str">
        <f aca="true">IF(AND($J20&lt;&gt;"",V$4&gt;=$J20,V$4&lt;=IF($K20="",TODAY(),$K20),V$67=0),"●","")</f>
        <v/>
      </c>
      <c r="W20" s="50" t="str">
        <f aca="true">IF(AND($J20&lt;&gt;"",W$4&gt;=$J20,W$4&lt;=IF($K20="",TODAY(),$K20),W$67=0),"●","")</f>
        <v/>
      </c>
      <c r="X20" s="50" t="str">
        <f aca="true">IF(AND($J20&lt;&gt;"",X$4&gt;=$J20,X$4&lt;=IF($K20="",TODAY(),$K20),X$67=0),"●","")</f>
        <v/>
      </c>
      <c r="Y20" s="50" t="str">
        <f aca="true">IF(AND($J20&lt;&gt;"",Y$4&gt;=$J20,Y$4&lt;=IF($K20="",TODAY(),$K20),Y$67=0),"●","")</f>
        <v/>
      </c>
      <c r="Z20" s="50" t="str">
        <f aca="true">IF(AND($J20&lt;&gt;"",Z$4&gt;=$J20,Z$4&lt;=IF($K20="",TODAY(),$K20),Z$67=0),"●","")</f>
        <v/>
      </c>
      <c r="AA20" s="50" t="str">
        <f aca="true">IF(AND($J20&lt;&gt;"",AA$4&gt;=$J20,AA$4&lt;=IF($K20="",TODAY(),$K20),AA$67=0),"●","")</f>
        <v/>
      </c>
      <c r="AB20" s="50" t="str">
        <f aca="true">IF(AND($J20&lt;&gt;"",AB$4&gt;=$J20,AB$4&lt;=IF($K20="",TODAY(),$K20),AB$67=0),"●","")</f>
        <v/>
      </c>
      <c r="AC20" s="50" t="str">
        <f aca="true">IF(AND($J20&lt;&gt;"",AC$4&gt;=$J20,AC$4&lt;=IF($K20="",TODAY(),$K20),AC$67=0),"●","")</f>
        <v>●</v>
      </c>
      <c r="AD20" s="50" t="str">
        <f aca="true">IF(AND($J20&lt;&gt;"",AD$4&gt;=$J20,AD$4&lt;=IF($K20="",TODAY(),$K20),AD$67=0),"●","")</f>
        <v>●</v>
      </c>
      <c r="AE20" s="50" t="str">
        <f aca="true">IF(AND($J20&lt;&gt;"",AE$4&gt;=$J20,AE$4&lt;=IF($K20="",TODAY(),$K20),AE$67=0),"●","")</f>
        <v/>
      </c>
      <c r="AF20" s="50" t="str">
        <f aca="true">IF(AND($J20&lt;&gt;"",AF$4&gt;=$J20,AF$4&lt;=IF($K20="",TODAY(),$K20),AF$67=0),"●","")</f>
        <v/>
      </c>
      <c r="AG20" s="50" t="str">
        <f aca="true">IF(AND($J20&lt;&gt;"",AG$4&gt;=$J20,AG$4&lt;=IF($K20="",TODAY(),$K20),AG$67=0),"●","")</f>
        <v/>
      </c>
      <c r="AH20" s="50" t="str">
        <f aca="true">IF(AND($J20&lt;&gt;"",AH$4&gt;=$J20,AH$4&lt;=IF($K20="",TODAY(),$K20),AH$67=0),"●","")</f>
        <v/>
      </c>
      <c r="AI20" s="50" t="str">
        <f aca="true">IF(AND($J20&lt;&gt;"",AI$4&gt;=$J20,AI$4&lt;=IF($K20="",TODAY(),$K20),AI$67=0),"●","")</f>
        <v/>
      </c>
      <c r="AJ20" s="50" t="str">
        <f aca="true">IF(AND($J20&lt;&gt;"",AJ$4&gt;=$J20,AJ$4&lt;=IF($K20="",TODAY(),$K20),AJ$67=0),"●","")</f>
        <v/>
      </c>
      <c r="AK20" s="50" t="str">
        <f aca="true">IF(AND($J20&lt;&gt;"",AK$4&gt;=$J20,AK$4&lt;=IF($K20="",TODAY(),$K20),AK$67=0),"●","")</f>
        <v/>
      </c>
      <c r="AL20" s="50" t="str">
        <f aca="true">IF(AND($J20&lt;&gt;"",AL$4&gt;=$J20,AL$4&lt;=IF($K20="",TODAY(),$K20),AL$67=0),"●","")</f>
        <v/>
      </c>
      <c r="AM20" s="50" t="str">
        <f aca="true">IF(AND($J20&lt;&gt;"",AM$4&gt;=$J20,AM$4&lt;=IF($K20="",TODAY(),$K20),AM$67=0),"●","")</f>
        <v/>
      </c>
      <c r="AN20" s="50" t="str">
        <f aca="true">IF(AND($J20&lt;&gt;"",AN$4&gt;=$J20,AN$4&lt;=IF($K20="",TODAY(),$K20),AN$67=0),"●","")</f>
        <v/>
      </c>
      <c r="AO20" s="50" t="str">
        <f aca="true">IF(AND($J20&lt;&gt;"",AO$4&gt;=$J20,AO$4&lt;=IF($K20="",TODAY(),$K20),AO$67=0),"●","")</f>
        <v/>
      </c>
      <c r="AP20" s="50" t="str">
        <f aca="true">IF(AND($J20&lt;&gt;"",AP$4&gt;=$J20,AP$4&lt;=IF($K20="",TODAY(),$K20),AP$67=0),"●","")</f>
        <v/>
      </c>
      <c r="AQ20" s="50" t="str">
        <f aca="true">IF(AND($J20&lt;&gt;"",AQ$4&gt;=$J20,AQ$4&lt;=IF($K20="",TODAY(),$K20),AQ$67=0),"●","")</f>
        <v/>
      </c>
      <c r="AR20" s="50" t="str">
        <f aca="true">IF(AND($J20&lt;&gt;"",AR$4&gt;=$J20,AR$4&lt;=IF($K20="",TODAY(),$K20),AR$67=0),"●","")</f>
        <v/>
      </c>
      <c r="AS20" s="50" t="str">
        <f aca="true">IF(AND($J20&lt;&gt;"",AS$4&gt;=$J20,AS$4&lt;=IF($K20="",TODAY(),$K20),AS$67=0),"●","")</f>
        <v/>
      </c>
      <c r="AT20" s="50" t="str">
        <f aca="true">IF(AND($J20&lt;&gt;"",AT$4&gt;=$J20,AT$4&lt;=IF($K20="",TODAY(),$K20),AT$67=0),"●","")</f>
        <v/>
      </c>
      <c r="AU20" s="50" t="str">
        <f aca="true">IF(AND($J20&lt;&gt;"",AU$4&gt;=$J20,AU$4&lt;=IF($K20="",TODAY(),$K20),AU$67=0),"●","")</f>
        <v/>
      </c>
      <c r="AV20" s="50" t="str">
        <f aca="true">IF(AND($J20&lt;&gt;"",AV$4&gt;=$J20,AV$4&lt;=IF($K20="",TODAY(),$K20),AV$67=0),"●","")</f>
        <v/>
      </c>
      <c r="AW20" s="50" t="str">
        <f aca="true">IF(AND($J20&lt;&gt;"",AW$4&gt;=$J20,AW$4&lt;=IF($K20="",TODAY(),$K20),AW$67=0),"●","")</f>
        <v/>
      </c>
      <c r="AX20" s="51" t="s">
        <v>205</v>
      </c>
    </row>
    <row r="21" customFormat="false" ht="15" hidden="false" customHeight="false" outlineLevel="0" collapsed="false">
      <c r="A21" s="47" t="s">
        <v>206</v>
      </c>
      <c r="B21" s="47" t="s">
        <v>190</v>
      </c>
      <c r="C21" s="47" t="s">
        <v>207</v>
      </c>
      <c r="D21" s="52" t="s">
        <v>37</v>
      </c>
      <c r="E21" s="47" t="n">
        <v>1</v>
      </c>
      <c r="F21" s="47" t="n">
        <v>1</v>
      </c>
      <c r="G21" s="47" t="s">
        <v>194</v>
      </c>
      <c r="H21" s="49" t="n">
        <v>46308</v>
      </c>
      <c r="I21" s="49" t="n">
        <f aca="false">WORKDAY(H21,E21-1,Holidays!$A$2:$A$40)</f>
        <v>46308</v>
      </c>
      <c r="J21" s="49" t="n">
        <f aca="false">IF('Project Status'!E21="","",'Project Status'!E21)</f>
        <v>46304</v>
      </c>
      <c r="K21" s="49" t="n">
        <f aca="false">IF('Project Status'!F21="","",'Project Status'!F21)</f>
        <v>46304</v>
      </c>
      <c r="L21" s="47" t="str">
        <f aca="false">IF('Project Status'!G21="","",'Project Status'!G21)</f>
        <v>Completed</v>
      </c>
      <c r="M21" s="47" t="n">
        <f aca="false">IF(OR(K21="",I21=""),"",IF(K21&gt;=I21,NETWORKDAYS(I21,K21,Holidays!$A$2:$A$40)-1,-(NETWORKDAYS(K21,I21,Holidays!$A$2:$A$40)-1)))</f>
        <v>-1</v>
      </c>
      <c r="N21" s="50" t="str">
        <f aca="true">IF(AND($J21&lt;&gt;"",N$4&gt;=$J21,N$4&lt;=IF($K21="",TODAY(),$K21),N$67=0),"●","")</f>
        <v/>
      </c>
      <c r="O21" s="50" t="str">
        <f aca="true">IF(AND($J21&lt;&gt;"",O$4&gt;=$J21,O$4&lt;=IF($K21="",TODAY(),$K21),O$67=0),"●","")</f>
        <v/>
      </c>
      <c r="P21" s="50" t="str">
        <f aca="true">IF(AND($J21&lt;&gt;"",P$4&gt;=$J21,P$4&lt;=IF($K21="",TODAY(),$K21),P$67=0),"●","")</f>
        <v/>
      </c>
      <c r="Q21" s="50" t="str">
        <f aca="true">IF(AND($J21&lt;&gt;"",Q$4&gt;=$J21,Q$4&lt;=IF($K21="",TODAY(),$K21),Q$67=0),"●","")</f>
        <v/>
      </c>
      <c r="R21" s="50" t="str">
        <f aca="true">IF(AND($J21&lt;&gt;"",R$4&gt;=$J21,R$4&lt;=IF($K21="",TODAY(),$K21),R$67=0),"●","")</f>
        <v/>
      </c>
      <c r="S21" s="50" t="str">
        <f aca="true">IF(AND($J21&lt;&gt;"",S$4&gt;=$J21,S$4&lt;=IF($K21="",TODAY(),$K21),S$67=0),"●","")</f>
        <v/>
      </c>
      <c r="T21" s="50" t="str">
        <f aca="true">IF(AND($J21&lt;&gt;"",T$4&gt;=$J21,T$4&lt;=IF($K21="",TODAY(),$K21),T$67=0),"●","")</f>
        <v/>
      </c>
      <c r="U21" s="50" t="str">
        <f aca="true">IF(AND($J21&lt;&gt;"",U$4&gt;=$J21,U$4&lt;=IF($K21="",TODAY(),$K21),U$67=0),"●","")</f>
        <v/>
      </c>
      <c r="V21" s="50" t="str">
        <f aca="true">IF(AND($J21&lt;&gt;"",V$4&gt;=$J21,V$4&lt;=IF($K21="",TODAY(),$K21),V$67=0),"●","")</f>
        <v/>
      </c>
      <c r="W21" s="50" t="str">
        <f aca="true">IF(AND($J21&lt;&gt;"",W$4&gt;=$J21,W$4&lt;=IF($K21="",TODAY(),$K21),W$67=0),"●","")</f>
        <v/>
      </c>
      <c r="X21" s="50" t="str">
        <f aca="true">IF(AND($J21&lt;&gt;"",X$4&gt;=$J21,X$4&lt;=IF($K21="",TODAY(),$K21),X$67=0),"●","")</f>
        <v/>
      </c>
      <c r="Y21" s="50" t="str">
        <f aca="true">IF(AND($J21&lt;&gt;"",Y$4&gt;=$J21,Y$4&lt;=IF($K21="",TODAY(),$K21),Y$67=0),"●","")</f>
        <v/>
      </c>
      <c r="Z21" s="50" t="str">
        <f aca="true">IF(AND($J21&lt;&gt;"",Z$4&gt;=$J21,Z$4&lt;=IF($K21="",TODAY(),$K21),Z$67=0),"●","")</f>
        <v/>
      </c>
      <c r="AA21" s="50" t="str">
        <f aca="true">IF(AND($J21&lt;&gt;"",AA$4&gt;=$J21,AA$4&lt;=IF($K21="",TODAY(),$K21),AA$67=0),"●","")</f>
        <v/>
      </c>
      <c r="AB21" s="50" t="str">
        <f aca="true">IF(AND($J21&lt;&gt;"",AB$4&gt;=$J21,AB$4&lt;=IF($K21="",TODAY(),$K21),AB$67=0),"●","")</f>
        <v/>
      </c>
      <c r="AC21" s="50" t="str">
        <f aca="true">IF(AND($J21&lt;&gt;"",AC$4&gt;=$J21,AC$4&lt;=IF($K21="",TODAY(),$K21),AC$67=0),"●","")</f>
        <v/>
      </c>
      <c r="AD21" s="50" t="str">
        <f aca="true">IF(AND($J21&lt;&gt;"",AD$4&gt;=$J21,AD$4&lt;=IF($K21="",TODAY(),$K21),AD$67=0),"●","")</f>
        <v>●</v>
      </c>
      <c r="AE21" s="50" t="str">
        <f aca="true">IF(AND($J21&lt;&gt;"",AE$4&gt;=$J21,AE$4&lt;=IF($K21="",TODAY(),$K21),AE$67=0),"●","")</f>
        <v/>
      </c>
      <c r="AF21" s="50" t="str">
        <f aca="true">IF(AND($J21&lt;&gt;"",AF$4&gt;=$J21,AF$4&lt;=IF($K21="",TODAY(),$K21),AF$67=0),"●","")</f>
        <v/>
      </c>
      <c r="AG21" s="50" t="str">
        <f aca="true">IF(AND($J21&lt;&gt;"",AG$4&gt;=$J21,AG$4&lt;=IF($K21="",TODAY(),$K21),AG$67=0),"●","")</f>
        <v/>
      </c>
      <c r="AH21" s="50" t="str">
        <f aca="true">IF(AND($J21&lt;&gt;"",AH$4&gt;=$J21,AH$4&lt;=IF($K21="",TODAY(),$K21),AH$67=0),"●","")</f>
        <v/>
      </c>
      <c r="AI21" s="50" t="str">
        <f aca="true">IF(AND($J21&lt;&gt;"",AI$4&gt;=$J21,AI$4&lt;=IF($K21="",TODAY(),$K21),AI$67=0),"●","")</f>
        <v/>
      </c>
      <c r="AJ21" s="50" t="str">
        <f aca="true">IF(AND($J21&lt;&gt;"",AJ$4&gt;=$J21,AJ$4&lt;=IF($K21="",TODAY(),$K21),AJ$67=0),"●","")</f>
        <v/>
      </c>
      <c r="AK21" s="50" t="str">
        <f aca="true">IF(AND($J21&lt;&gt;"",AK$4&gt;=$J21,AK$4&lt;=IF($K21="",TODAY(),$K21),AK$67=0),"●","")</f>
        <v/>
      </c>
      <c r="AL21" s="50" t="str">
        <f aca="true">IF(AND($J21&lt;&gt;"",AL$4&gt;=$J21,AL$4&lt;=IF($K21="",TODAY(),$K21),AL$67=0),"●","")</f>
        <v/>
      </c>
      <c r="AM21" s="50" t="str">
        <f aca="true">IF(AND($J21&lt;&gt;"",AM$4&gt;=$J21,AM$4&lt;=IF($K21="",TODAY(),$K21),AM$67=0),"●","")</f>
        <v/>
      </c>
      <c r="AN21" s="50" t="str">
        <f aca="true">IF(AND($J21&lt;&gt;"",AN$4&gt;=$J21,AN$4&lt;=IF($K21="",TODAY(),$K21),AN$67=0),"●","")</f>
        <v/>
      </c>
      <c r="AO21" s="50" t="str">
        <f aca="true">IF(AND($J21&lt;&gt;"",AO$4&gt;=$J21,AO$4&lt;=IF($K21="",TODAY(),$K21),AO$67=0),"●","")</f>
        <v/>
      </c>
      <c r="AP21" s="50" t="str">
        <f aca="true">IF(AND($J21&lt;&gt;"",AP$4&gt;=$J21,AP$4&lt;=IF($K21="",TODAY(),$K21),AP$67=0),"●","")</f>
        <v/>
      </c>
      <c r="AQ21" s="50" t="str">
        <f aca="true">IF(AND($J21&lt;&gt;"",AQ$4&gt;=$J21,AQ$4&lt;=IF($K21="",TODAY(),$K21),AQ$67=0),"●","")</f>
        <v/>
      </c>
      <c r="AR21" s="50" t="str">
        <f aca="true">IF(AND($J21&lt;&gt;"",AR$4&gt;=$J21,AR$4&lt;=IF($K21="",TODAY(),$K21),AR$67=0),"●","")</f>
        <v/>
      </c>
      <c r="AS21" s="50" t="str">
        <f aca="true">IF(AND($J21&lt;&gt;"",AS$4&gt;=$J21,AS$4&lt;=IF($K21="",TODAY(),$K21),AS$67=0),"●","")</f>
        <v/>
      </c>
      <c r="AT21" s="50" t="str">
        <f aca="true">IF(AND($J21&lt;&gt;"",AT$4&gt;=$J21,AT$4&lt;=IF($K21="",TODAY(),$K21),AT$67=0),"●","")</f>
        <v/>
      </c>
      <c r="AU21" s="50" t="str">
        <f aca="true">IF(AND($J21&lt;&gt;"",AU$4&gt;=$J21,AU$4&lt;=IF($K21="",TODAY(),$K21),AU$67=0),"●","")</f>
        <v/>
      </c>
      <c r="AV21" s="50" t="str">
        <f aca="true">IF(AND($J21&lt;&gt;"",AV$4&gt;=$J21,AV$4&lt;=IF($K21="",TODAY(),$K21),AV$67=0),"●","")</f>
        <v/>
      </c>
      <c r="AW21" s="50" t="str">
        <f aca="true">IF(AND($J21&lt;&gt;"",AW$4&gt;=$J21,AW$4&lt;=IF($K21="",TODAY(),$K21),AW$67=0),"●","")</f>
        <v/>
      </c>
      <c r="AX21" s="51" t="s">
        <v>208</v>
      </c>
    </row>
    <row r="22" customFormat="false" ht="15" hidden="false" customHeight="false" outlineLevel="0" collapsed="false">
      <c r="A22" s="47" t="s">
        <v>209</v>
      </c>
      <c r="B22" s="47" t="s">
        <v>190</v>
      </c>
      <c r="C22" s="47" t="s">
        <v>210</v>
      </c>
      <c r="D22" s="52" t="s">
        <v>37</v>
      </c>
      <c r="E22" s="47" t="n">
        <v>6</v>
      </c>
      <c r="F22" s="47" t="n">
        <v>2</v>
      </c>
      <c r="G22" s="47" t="s">
        <v>206</v>
      </c>
      <c r="H22" s="49" t="n">
        <v>46311</v>
      </c>
      <c r="I22" s="49" t="n">
        <f aca="false">WORKDAY(H22,E22-1,Holidays!$A$2:$A$40)</f>
        <v>46318</v>
      </c>
      <c r="J22" s="49" t="n">
        <f aca="false">IF('Project Status'!E22="","",'Project Status'!E22)</f>
        <v>46311</v>
      </c>
      <c r="K22" s="49" t="n">
        <f aca="false">IF('Project Status'!F22="","",'Project Status'!F22)</f>
        <v>46318</v>
      </c>
      <c r="L22" s="47" t="str">
        <f aca="false">IF('Project Status'!G22="","",'Project Status'!G22)</f>
        <v>Completed</v>
      </c>
      <c r="M22" s="47" t="n">
        <f aca="false">IF(OR(K22="",I22=""),"",IF(K22&gt;=I22,NETWORKDAYS(I22,K22,Holidays!$A$2:$A$40)-1,-(NETWORKDAYS(K22,I22,Holidays!$A$2:$A$40)-1)))</f>
        <v>0</v>
      </c>
      <c r="N22" s="50" t="str">
        <f aca="true">IF(AND($J22&lt;&gt;"",N$4&gt;=$J22,N$4&lt;=IF($K22="",TODAY(),$K22),N$67=0),"●","")</f>
        <v/>
      </c>
      <c r="O22" s="50" t="str">
        <f aca="true">IF(AND($J22&lt;&gt;"",O$4&gt;=$J22,O$4&lt;=IF($K22="",TODAY(),$K22),O$67=0),"●","")</f>
        <v/>
      </c>
      <c r="P22" s="50" t="str">
        <f aca="true">IF(AND($J22&lt;&gt;"",P$4&gt;=$J22,P$4&lt;=IF($K22="",TODAY(),$K22),P$67=0),"●","")</f>
        <v/>
      </c>
      <c r="Q22" s="50" t="str">
        <f aca="true">IF(AND($J22&lt;&gt;"",Q$4&gt;=$J22,Q$4&lt;=IF($K22="",TODAY(),$K22),Q$67=0),"●","")</f>
        <v/>
      </c>
      <c r="R22" s="50" t="str">
        <f aca="true">IF(AND($J22&lt;&gt;"",R$4&gt;=$J22,R$4&lt;=IF($K22="",TODAY(),$K22),R$67=0),"●","")</f>
        <v/>
      </c>
      <c r="S22" s="50" t="str">
        <f aca="true">IF(AND($J22&lt;&gt;"",S$4&gt;=$J22,S$4&lt;=IF($K22="",TODAY(),$K22),S$67=0),"●","")</f>
        <v/>
      </c>
      <c r="T22" s="50" t="str">
        <f aca="true">IF(AND($J22&lt;&gt;"",T$4&gt;=$J22,T$4&lt;=IF($K22="",TODAY(),$K22),T$67=0),"●","")</f>
        <v/>
      </c>
      <c r="U22" s="50" t="str">
        <f aca="true">IF(AND($J22&lt;&gt;"",U$4&gt;=$J22,U$4&lt;=IF($K22="",TODAY(),$K22),U$67=0),"●","")</f>
        <v/>
      </c>
      <c r="V22" s="50" t="str">
        <f aca="true">IF(AND($J22&lt;&gt;"",V$4&gt;=$J22,V$4&lt;=IF($K22="",TODAY(),$K22),V$67=0),"●","")</f>
        <v/>
      </c>
      <c r="W22" s="50" t="str">
        <f aca="true">IF(AND($J22&lt;&gt;"",W$4&gt;=$J22,W$4&lt;=IF($K22="",TODAY(),$K22),W$67=0),"●","")</f>
        <v/>
      </c>
      <c r="X22" s="50" t="str">
        <f aca="true">IF(AND($J22&lt;&gt;"",X$4&gt;=$J22,X$4&lt;=IF($K22="",TODAY(),$K22),X$67=0),"●","")</f>
        <v/>
      </c>
      <c r="Y22" s="50" t="str">
        <f aca="true">IF(AND($J22&lt;&gt;"",Y$4&gt;=$J22,Y$4&lt;=IF($K22="",TODAY(),$K22),Y$67=0),"●","")</f>
        <v/>
      </c>
      <c r="Z22" s="50" t="str">
        <f aca="true">IF(AND($J22&lt;&gt;"",Z$4&gt;=$J22,Z$4&lt;=IF($K22="",TODAY(),$K22),Z$67=0),"●","")</f>
        <v/>
      </c>
      <c r="AA22" s="50" t="str">
        <f aca="true">IF(AND($J22&lt;&gt;"",AA$4&gt;=$J22,AA$4&lt;=IF($K22="",TODAY(),$K22),AA$67=0),"●","")</f>
        <v/>
      </c>
      <c r="AB22" s="50" t="str">
        <f aca="true">IF(AND($J22&lt;&gt;"",AB$4&gt;=$J22,AB$4&lt;=IF($K22="",TODAY(),$K22),AB$67=0),"●","")</f>
        <v/>
      </c>
      <c r="AC22" s="50" t="str">
        <f aca="true">IF(AND($J22&lt;&gt;"",AC$4&gt;=$J22,AC$4&lt;=IF($K22="",TODAY(),$K22),AC$67=0),"●","")</f>
        <v/>
      </c>
      <c r="AD22" s="50" t="str">
        <f aca="true">IF(AND($J22&lt;&gt;"",AD$4&gt;=$J22,AD$4&lt;=IF($K22="",TODAY(),$K22),AD$67=0),"●","")</f>
        <v/>
      </c>
      <c r="AE22" s="50" t="str">
        <f aca="true">IF(AND($J22&lt;&gt;"",AE$4&gt;=$J22,AE$4&lt;=IF($K22="",TODAY(),$K22),AE$67=0),"●","")</f>
        <v/>
      </c>
      <c r="AF22" s="50" t="str">
        <f aca="true">IF(AND($J22&lt;&gt;"",AF$4&gt;=$J22,AF$4&lt;=IF($K22="",TODAY(),$K22),AF$67=0),"●","")</f>
        <v/>
      </c>
      <c r="AG22" s="50" t="str">
        <f aca="true">IF(AND($J22&lt;&gt;"",AG$4&gt;=$J22,AG$4&lt;=IF($K22="",TODAY(),$K22),AG$67=0),"●","")</f>
        <v/>
      </c>
      <c r="AH22" s="50" t="str">
        <f aca="true">IF(AND($J22&lt;&gt;"",AH$4&gt;=$J22,AH$4&lt;=IF($K22="",TODAY(),$K22),AH$67=0),"●","")</f>
        <v/>
      </c>
      <c r="AI22" s="50" t="str">
        <f aca="true">IF(AND($J22&lt;&gt;"",AI$4&gt;=$J22,AI$4&lt;=IF($K22="",TODAY(),$K22),AI$67=0),"●","")</f>
        <v>●</v>
      </c>
      <c r="AJ22" s="50" t="str">
        <f aca="true">IF(AND($J22&lt;&gt;"",AJ$4&gt;=$J22,AJ$4&lt;=IF($K22="",TODAY(),$K22),AJ$67=0),"●","")</f>
        <v>●</v>
      </c>
      <c r="AK22" s="50" t="str">
        <f aca="true">IF(AND($J22&lt;&gt;"",AK$4&gt;=$J22,AK$4&lt;=IF($K22="",TODAY(),$K22),AK$67=0),"●","")</f>
        <v>●</v>
      </c>
      <c r="AL22" s="50" t="str">
        <f aca="true">IF(AND($J22&lt;&gt;"",AL$4&gt;=$J22,AL$4&lt;=IF($K22="",TODAY(),$K22),AL$67=0),"●","")</f>
        <v>●</v>
      </c>
      <c r="AM22" s="50" t="str">
        <f aca="true">IF(AND($J22&lt;&gt;"",AM$4&gt;=$J22,AM$4&lt;=IF($K22="",TODAY(),$K22),AM$67=0),"●","")</f>
        <v>●</v>
      </c>
      <c r="AN22" s="50" t="str">
        <f aca="true">IF(AND($J22&lt;&gt;"",AN$4&gt;=$J22,AN$4&lt;=IF($K22="",TODAY(),$K22),AN$67=0),"●","")</f>
        <v>●</v>
      </c>
      <c r="AO22" s="50" t="str">
        <f aca="true">IF(AND($J22&lt;&gt;"",AO$4&gt;=$J22,AO$4&lt;=IF($K22="",TODAY(),$K22),AO$67=0),"●","")</f>
        <v/>
      </c>
      <c r="AP22" s="50" t="str">
        <f aca="true">IF(AND($J22&lt;&gt;"",AP$4&gt;=$J22,AP$4&lt;=IF($K22="",TODAY(),$K22),AP$67=0),"●","")</f>
        <v/>
      </c>
      <c r="AQ22" s="50" t="str">
        <f aca="true">IF(AND($J22&lt;&gt;"",AQ$4&gt;=$J22,AQ$4&lt;=IF($K22="",TODAY(),$K22),AQ$67=0),"●","")</f>
        <v/>
      </c>
      <c r="AR22" s="50" t="str">
        <f aca="true">IF(AND($J22&lt;&gt;"",AR$4&gt;=$J22,AR$4&lt;=IF($K22="",TODAY(),$K22),AR$67=0),"●","")</f>
        <v/>
      </c>
      <c r="AS22" s="50" t="str">
        <f aca="true">IF(AND($J22&lt;&gt;"",AS$4&gt;=$J22,AS$4&lt;=IF($K22="",TODAY(),$K22),AS$67=0),"●","")</f>
        <v/>
      </c>
      <c r="AT22" s="50" t="str">
        <f aca="true">IF(AND($J22&lt;&gt;"",AT$4&gt;=$J22,AT$4&lt;=IF($K22="",TODAY(),$K22),AT$67=0),"●","")</f>
        <v/>
      </c>
      <c r="AU22" s="50" t="str">
        <f aca="true">IF(AND($J22&lt;&gt;"",AU$4&gt;=$J22,AU$4&lt;=IF($K22="",TODAY(),$K22),AU$67=0),"●","")</f>
        <v/>
      </c>
      <c r="AV22" s="50" t="str">
        <f aca="true">IF(AND($J22&lt;&gt;"",AV$4&gt;=$J22,AV$4&lt;=IF($K22="",TODAY(),$K22),AV$67=0),"●","")</f>
        <v/>
      </c>
      <c r="AW22" s="50" t="str">
        <f aca="true">IF(AND($J22&lt;&gt;"",AW$4&gt;=$J22,AW$4&lt;=IF($K22="",TODAY(),$K22),AW$67=0),"●","")</f>
        <v/>
      </c>
      <c r="AX22" s="51" t="s">
        <v>211</v>
      </c>
    </row>
    <row r="23" customFormat="false" ht="15" hidden="false" customHeight="false" outlineLevel="0" collapsed="false">
      <c r="A23" s="47" t="s">
        <v>212</v>
      </c>
      <c r="B23" s="47" t="s">
        <v>190</v>
      </c>
      <c r="C23" s="47" t="s">
        <v>213</v>
      </c>
      <c r="D23" s="52" t="s">
        <v>37</v>
      </c>
      <c r="E23" s="47" t="n">
        <v>1</v>
      </c>
      <c r="F23" s="47" t="n">
        <v>1</v>
      </c>
      <c r="G23" s="47" t="s">
        <v>206</v>
      </c>
      <c r="H23" s="49" t="n">
        <v>46315</v>
      </c>
      <c r="I23" s="49" t="n">
        <f aca="false">WORKDAY(H23,E23-1,Holidays!$A$2:$A$40)</f>
        <v>46315</v>
      </c>
      <c r="J23" s="49" t="n">
        <f aca="false">IF('Project Status'!E23="","",'Project Status'!E23)</f>
        <v>46315</v>
      </c>
      <c r="K23" s="49" t="n">
        <f aca="false">IF('Project Status'!F23="","",'Project Status'!F23)</f>
        <v>46315</v>
      </c>
      <c r="L23" s="47" t="str">
        <f aca="false">IF('Project Status'!G23="","",'Project Status'!G23)</f>
        <v>Completed</v>
      </c>
      <c r="M23" s="47" t="n">
        <f aca="false">IF(OR(K23="",I23=""),"",IF(K23&gt;=I23,NETWORKDAYS(I23,K23,Holidays!$A$2:$A$40)-1,-(NETWORKDAYS(K23,I23,Holidays!$A$2:$A$40)-1)))</f>
        <v>0</v>
      </c>
      <c r="N23" s="50" t="str">
        <f aca="true">IF(AND($J23&lt;&gt;"",N$4&gt;=$J23,N$4&lt;=IF($K23="",TODAY(),$K23),N$67=0),"●","")</f>
        <v/>
      </c>
      <c r="O23" s="50" t="str">
        <f aca="true">IF(AND($J23&lt;&gt;"",O$4&gt;=$J23,O$4&lt;=IF($K23="",TODAY(),$K23),O$67=0),"●","")</f>
        <v/>
      </c>
      <c r="P23" s="50" t="str">
        <f aca="true">IF(AND($J23&lt;&gt;"",P$4&gt;=$J23,P$4&lt;=IF($K23="",TODAY(),$K23),P$67=0),"●","")</f>
        <v/>
      </c>
      <c r="Q23" s="50" t="str">
        <f aca="true">IF(AND($J23&lt;&gt;"",Q$4&gt;=$J23,Q$4&lt;=IF($K23="",TODAY(),$K23),Q$67=0),"●","")</f>
        <v/>
      </c>
      <c r="R23" s="50" t="str">
        <f aca="true">IF(AND($J23&lt;&gt;"",R$4&gt;=$J23,R$4&lt;=IF($K23="",TODAY(),$K23),R$67=0),"●","")</f>
        <v/>
      </c>
      <c r="S23" s="50" t="str">
        <f aca="true">IF(AND($J23&lt;&gt;"",S$4&gt;=$J23,S$4&lt;=IF($K23="",TODAY(),$K23),S$67=0),"●","")</f>
        <v/>
      </c>
      <c r="T23" s="50" t="str">
        <f aca="true">IF(AND($J23&lt;&gt;"",T$4&gt;=$J23,T$4&lt;=IF($K23="",TODAY(),$K23),T$67=0),"●","")</f>
        <v/>
      </c>
      <c r="U23" s="50" t="str">
        <f aca="true">IF(AND($J23&lt;&gt;"",U$4&gt;=$J23,U$4&lt;=IF($K23="",TODAY(),$K23),U$67=0),"●","")</f>
        <v/>
      </c>
      <c r="V23" s="50" t="str">
        <f aca="true">IF(AND($J23&lt;&gt;"",V$4&gt;=$J23,V$4&lt;=IF($K23="",TODAY(),$K23),V$67=0),"●","")</f>
        <v/>
      </c>
      <c r="W23" s="50" t="str">
        <f aca="true">IF(AND($J23&lt;&gt;"",W$4&gt;=$J23,W$4&lt;=IF($K23="",TODAY(),$K23),W$67=0),"●","")</f>
        <v/>
      </c>
      <c r="X23" s="50" t="str">
        <f aca="true">IF(AND($J23&lt;&gt;"",X$4&gt;=$J23,X$4&lt;=IF($K23="",TODAY(),$K23),X$67=0),"●","")</f>
        <v/>
      </c>
      <c r="Y23" s="50" t="str">
        <f aca="true">IF(AND($J23&lt;&gt;"",Y$4&gt;=$J23,Y$4&lt;=IF($K23="",TODAY(),$K23),Y$67=0),"●","")</f>
        <v/>
      </c>
      <c r="Z23" s="50" t="str">
        <f aca="true">IF(AND($J23&lt;&gt;"",Z$4&gt;=$J23,Z$4&lt;=IF($K23="",TODAY(),$K23),Z$67=0),"●","")</f>
        <v/>
      </c>
      <c r="AA23" s="50" t="str">
        <f aca="true">IF(AND($J23&lt;&gt;"",AA$4&gt;=$J23,AA$4&lt;=IF($K23="",TODAY(),$K23),AA$67=0),"●","")</f>
        <v/>
      </c>
      <c r="AB23" s="50" t="str">
        <f aca="true">IF(AND($J23&lt;&gt;"",AB$4&gt;=$J23,AB$4&lt;=IF($K23="",TODAY(),$K23),AB$67=0),"●","")</f>
        <v/>
      </c>
      <c r="AC23" s="50" t="str">
        <f aca="true">IF(AND($J23&lt;&gt;"",AC$4&gt;=$J23,AC$4&lt;=IF($K23="",TODAY(),$K23),AC$67=0),"●","")</f>
        <v/>
      </c>
      <c r="AD23" s="50" t="str">
        <f aca="true">IF(AND($J23&lt;&gt;"",AD$4&gt;=$J23,AD$4&lt;=IF($K23="",TODAY(),$K23),AD$67=0),"●","")</f>
        <v/>
      </c>
      <c r="AE23" s="50" t="str">
        <f aca="true">IF(AND($J23&lt;&gt;"",AE$4&gt;=$J23,AE$4&lt;=IF($K23="",TODAY(),$K23),AE$67=0),"●","")</f>
        <v/>
      </c>
      <c r="AF23" s="50" t="str">
        <f aca="true">IF(AND($J23&lt;&gt;"",AF$4&gt;=$J23,AF$4&lt;=IF($K23="",TODAY(),$K23),AF$67=0),"●","")</f>
        <v/>
      </c>
      <c r="AG23" s="50" t="str">
        <f aca="true">IF(AND($J23&lt;&gt;"",AG$4&gt;=$J23,AG$4&lt;=IF($K23="",TODAY(),$K23),AG$67=0),"●","")</f>
        <v/>
      </c>
      <c r="AH23" s="50" t="str">
        <f aca="true">IF(AND($J23&lt;&gt;"",AH$4&gt;=$J23,AH$4&lt;=IF($K23="",TODAY(),$K23),AH$67=0),"●","")</f>
        <v/>
      </c>
      <c r="AI23" s="50" t="str">
        <f aca="true">IF(AND($J23&lt;&gt;"",AI$4&gt;=$J23,AI$4&lt;=IF($K23="",TODAY(),$K23),AI$67=0),"●","")</f>
        <v/>
      </c>
      <c r="AJ23" s="50" t="str">
        <f aca="true">IF(AND($J23&lt;&gt;"",AJ$4&gt;=$J23,AJ$4&lt;=IF($K23="",TODAY(),$K23),AJ$67=0),"●","")</f>
        <v/>
      </c>
      <c r="AK23" s="50" t="str">
        <f aca="true">IF(AND($J23&lt;&gt;"",AK$4&gt;=$J23,AK$4&lt;=IF($K23="",TODAY(),$K23),AK$67=0),"●","")</f>
        <v>●</v>
      </c>
      <c r="AL23" s="50" t="str">
        <f aca="true">IF(AND($J23&lt;&gt;"",AL$4&gt;=$J23,AL$4&lt;=IF($K23="",TODAY(),$K23),AL$67=0),"●","")</f>
        <v/>
      </c>
      <c r="AM23" s="50" t="str">
        <f aca="true">IF(AND($J23&lt;&gt;"",AM$4&gt;=$J23,AM$4&lt;=IF($K23="",TODAY(),$K23),AM$67=0),"●","")</f>
        <v/>
      </c>
      <c r="AN23" s="50" t="str">
        <f aca="true">IF(AND($J23&lt;&gt;"",AN$4&gt;=$J23,AN$4&lt;=IF($K23="",TODAY(),$K23),AN$67=0),"●","")</f>
        <v/>
      </c>
      <c r="AO23" s="50" t="str">
        <f aca="true">IF(AND($J23&lt;&gt;"",AO$4&gt;=$J23,AO$4&lt;=IF($K23="",TODAY(),$K23),AO$67=0),"●","")</f>
        <v/>
      </c>
      <c r="AP23" s="50" t="str">
        <f aca="true">IF(AND($J23&lt;&gt;"",AP$4&gt;=$J23,AP$4&lt;=IF($K23="",TODAY(),$K23),AP$67=0),"●","")</f>
        <v/>
      </c>
      <c r="AQ23" s="50" t="str">
        <f aca="true">IF(AND($J23&lt;&gt;"",AQ$4&gt;=$J23,AQ$4&lt;=IF($K23="",TODAY(),$K23),AQ$67=0),"●","")</f>
        <v/>
      </c>
      <c r="AR23" s="50" t="str">
        <f aca="true">IF(AND($J23&lt;&gt;"",AR$4&gt;=$J23,AR$4&lt;=IF($K23="",TODAY(),$K23),AR$67=0),"●","")</f>
        <v/>
      </c>
      <c r="AS23" s="50" t="str">
        <f aca="true">IF(AND($J23&lt;&gt;"",AS$4&gt;=$J23,AS$4&lt;=IF($K23="",TODAY(),$K23),AS$67=0),"●","")</f>
        <v/>
      </c>
      <c r="AT23" s="50" t="str">
        <f aca="true">IF(AND($J23&lt;&gt;"",AT$4&gt;=$J23,AT$4&lt;=IF($K23="",TODAY(),$K23),AT$67=0),"●","")</f>
        <v/>
      </c>
      <c r="AU23" s="50" t="str">
        <f aca="true">IF(AND($J23&lt;&gt;"",AU$4&gt;=$J23,AU$4&lt;=IF($K23="",TODAY(),$K23),AU$67=0),"●","")</f>
        <v/>
      </c>
      <c r="AV23" s="50" t="str">
        <f aca="true">IF(AND($J23&lt;&gt;"",AV$4&gt;=$J23,AV$4&lt;=IF($K23="",TODAY(),$K23),AV$67=0),"●","")</f>
        <v/>
      </c>
      <c r="AW23" s="50" t="str">
        <f aca="true">IF(AND($J23&lt;&gt;"",AW$4&gt;=$J23,AW$4&lt;=IF($K23="",TODAY(),$K23),AW$67=0),"●","")</f>
        <v/>
      </c>
      <c r="AX23" s="51" t="s">
        <v>214</v>
      </c>
    </row>
    <row r="24" customFormat="false" ht="15" hidden="false" customHeight="false" outlineLevel="0" collapsed="false">
      <c r="A24" s="47" t="s">
        <v>215</v>
      </c>
      <c r="B24" s="47" t="s">
        <v>190</v>
      </c>
      <c r="C24" s="47" t="s">
        <v>216</v>
      </c>
      <c r="D24" s="52" t="s">
        <v>37</v>
      </c>
      <c r="E24" s="47" t="n">
        <v>1</v>
      </c>
      <c r="F24" s="47" t="n">
        <v>1</v>
      </c>
      <c r="G24" s="47" t="s">
        <v>217</v>
      </c>
      <c r="H24" s="49" t="n">
        <v>46322</v>
      </c>
      <c r="I24" s="49" t="n">
        <v>46322</v>
      </c>
      <c r="J24" s="49" t="n">
        <f aca="false">IF('Project Status'!E24="","",'Project Status'!E24)</f>
        <v>46321</v>
      </c>
      <c r="K24" s="49" t="n">
        <f aca="false">IF('Project Status'!F24="","",'Project Status'!F24)</f>
        <v>46321</v>
      </c>
      <c r="L24" s="47" t="str">
        <f aca="false">IF('Project Status'!G24="","",'Project Status'!G24)</f>
        <v>Completed</v>
      </c>
      <c r="M24" s="47" t="n">
        <f aca="false">IF(OR(K24="",I24=""),"",IF(K24&gt;=I24,NETWORKDAYS(I24,K24,Holidays!$A$2:$A$40)-1,-(NETWORKDAYS(K24,I24,Holidays!$A$2:$A$40)-1)))</f>
        <v>-1</v>
      </c>
      <c r="N24" s="50" t="str">
        <f aca="true">IF(AND($J24&lt;&gt;"",N$4&gt;=$J24,N$4&lt;=IF($K24="",TODAY(),$K24),N$67=0),"●","")</f>
        <v/>
      </c>
      <c r="O24" s="50" t="str">
        <f aca="true">IF(AND($J24&lt;&gt;"",O$4&gt;=$J24,O$4&lt;=IF($K24="",TODAY(),$K24),O$67=0),"●","")</f>
        <v/>
      </c>
      <c r="P24" s="50" t="str">
        <f aca="true">IF(AND($J24&lt;&gt;"",P$4&gt;=$J24,P$4&lt;=IF($K24="",TODAY(),$K24),P$67=0),"●","")</f>
        <v/>
      </c>
      <c r="Q24" s="50" t="str">
        <f aca="true">IF(AND($J24&lt;&gt;"",Q$4&gt;=$J24,Q$4&lt;=IF($K24="",TODAY(),$K24),Q$67=0),"●","")</f>
        <v/>
      </c>
      <c r="R24" s="50" t="str">
        <f aca="true">IF(AND($J24&lt;&gt;"",R$4&gt;=$J24,R$4&lt;=IF($K24="",TODAY(),$K24),R$67=0),"●","")</f>
        <v/>
      </c>
      <c r="S24" s="50" t="str">
        <f aca="true">IF(AND($J24&lt;&gt;"",S$4&gt;=$J24,S$4&lt;=IF($K24="",TODAY(),$K24),S$67=0),"●","")</f>
        <v/>
      </c>
      <c r="T24" s="50" t="str">
        <f aca="true">IF(AND($J24&lt;&gt;"",T$4&gt;=$J24,T$4&lt;=IF($K24="",TODAY(),$K24),T$67=0),"●","")</f>
        <v/>
      </c>
      <c r="U24" s="50" t="str">
        <f aca="true">IF(AND($J24&lt;&gt;"",U$4&gt;=$J24,U$4&lt;=IF($K24="",TODAY(),$K24),U$67=0),"●","")</f>
        <v/>
      </c>
      <c r="V24" s="50" t="str">
        <f aca="true">IF(AND($J24&lt;&gt;"",V$4&gt;=$J24,V$4&lt;=IF($K24="",TODAY(),$K24),V$67=0),"●","")</f>
        <v/>
      </c>
      <c r="W24" s="50" t="str">
        <f aca="true">IF(AND($J24&lt;&gt;"",W$4&gt;=$J24,W$4&lt;=IF($K24="",TODAY(),$K24),W$67=0),"●","")</f>
        <v/>
      </c>
      <c r="X24" s="50" t="str">
        <f aca="true">IF(AND($J24&lt;&gt;"",X$4&gt;=$J24,X$4&lt;=IF($K24="",TODAY(),$K24),X$67=0),"●","")</f>
        <v/>
      </c>
      <c r="Y24" s="50" t="str">
        <f aca="true">IF(AND($J24&lt;&gt;"",Y$4&gt;=$J24,Y$4&lt;=IF($K24="",TODAY(),$K24),Y$67=0),"●","")</f>
        <v/>
      </c>
      <c r="Z24" s="50" t="str">
        <f aca="true">IF(AND($J24&lt;&gt;"",Z$4&gt;=$J24,Z$4&lt;=IF($K24="",TODAY(),$K24),Z$67=0),"●","")</f>
        <v/>
      </c>
      <c r="AA24" s="50" t="str">
        <f aca="true">IF(AND($J24&lt;&gt;"",AA$4&gt;=$J24,AA$4&lt;=IF($K24="",TODAY(),$K24),AA$67=0),"●","")</f>
        <v/>
      </c>
      <c r="AB24" s="50" t="str">
        <f aca="true">IF(AND($J24&lt;&gt;"",AB$4&gt;=$J24,AB$4&lt;=IF($K24="",TODAY(),$K24),AB$67=0),"●","")</f>
        <v/>
      </c>
      <c r="AC24" s="50" t="str">
        <f aca="true">IF(AND($J24&lt;&gt;"",AC$4&gt;=$J24,AC$4&lt;=IF($K24="",TODAY(),$K24),AC$67=0),"●","")</f>
        <v/>
      </c>
      <c r="AD24" s="50" t="str">
        <f aca="true">IF(AND($J24&lt;&gt;"",AD$4&gt;=$J24,AD$4&lt;=IF($K24="",TODAY(),$K24),AD$67=0),"●","")</f>
        <v/>
      </c>
      <c r="AE24" s="50" t="str">
        <f aca="true">IF(AND($J24&lt;&gt;"",AE$4&gt;=$J24,AE$4&lt;=IF($K24="",TODAY(),$K24),AE$67=0),"●","")</f>
        <v/>
      </c>
      <c r="AF24" s="50" t="str">
        <f aca="true">IF(AND($J24&lt;&gt;"",AF$4&gt;=$J24,AF$4&lt;=IF($K24="",TODAY(),$K24),AF$67=0),"●","")</f>
        <v/>
      </c>
      <c r="AG24" s="50" t="str">
        <f aca="true">IF(AND($J24&lt;&gt;"",AG$4&gt;=$J24,AG$4&lt;=IF($K24="",TODAY(),$K24),AG$67=0),"●","")</f>
        <v/>
      </c>
      <c r="AH24" s="50" t="str">
        <f aca="true">IF(AND($J24&lt;&gt;"",AH$4&gt;=$J24,AH$4&lt;=IF($K24="",TODAY(),$K24),AH$67=0),"●","")</f>
        <v/>
      </c>
      <c r="AI24" s="50" t="str">
        <f aca="true">IF(AND($J24&lt;&gt;"",AI$4&gt;=$J24,AI$4&lt;=IF($K24="",TODAY(),$K24),AI$67=0),"●","")</f>
        <v/>
      </c>
      <c r="AJ24" s="50" t="str">
        <f aca="true">IF(AND($J24&lt;&gt;"",AJ$4&gt;=$J24,AJ$4&lt;=IF($K24="",TODAY(),$K24),AJ$67=0),"●","")</f>
        <v/>
      </c>
      <c r="AK24" s="50" t="str">
        <f aca="true">IF(AND($J24&lt;&gt;"",AK$4&gt;=$J24,AK$4&lt;=IF($K24="",TODAY(),$K24),AK$67=0),"●","")</f>
        <v/>
      </c>
      <c r="AL24" s="50" t="str">
        <f aca="true">IF(AND($J24&lt;&gt;"",AL$4&gt;=$J24,AL$4&lt;=IF($K24="",TODAY(),$K24),AL$67=0),"●","")</f>
        <v/>
      </c>
      <c r="AM24" s="50" t="str">
        <f aca="true">IF(AND($J24&lt;&gt;"",AM$4&gt;=$J24,AM$4&lt;=IF($K24="",TODAY(),$K24),AM$67=0),"●","")</f>
        <v/>
      </c>
      <c r="AN24" s="50" t="str">
        <f aca="true">IF(AND($J24&lt;&gt;"",AN$4&gt;=$J24,AN$4&lt;=IF($K24="",TODAY(),$K24),AN$67=0),"●","")</f>
        <v/>
      </c>
      <c r="AO24" s="50" t="str">
        <f aca="true">IF(AND($J24&lt;&gt;"",AO$4&gt;=$J24,AO$4&lt;=IF($K24="",TODAY(),$K24),AO$67=0),"●","")</f>
        <v>●</v>
      </c>
      <c r="AP24" s="50" t="str">
        <f aca="true">IF(AND($J24&lt;&gt;"",AP$4&gt;=$J24,AP$4&lt;=IF($K24="",TODAY(),$K24),AP$67=0),"●","")</f>
        <v/>
      </c>
      <c r="AQ24" s="50" t="str">
        <f aca="true">IF(AND($J24&lt;&gt;"",AQ$4&gt;=$J24,AQ$4&lt;=IF($K24="",TODAY(),$K24),AQ$67=0),"●","")</f>
        <v/>
      </c>
      <c r="AR24" s="50" t="str">
        <f aca="true">IF(AND($J24&lt;&gt;"",AR$4&gt;=$J24,AR$4&lt;=IF($K24="",TODAY(),$K24),AR$67=0),"●","")</f>
        <v/>
      </c>
      <c r="AS24" s="50" t="str">
        <f aca="true">IF(AND($J24&lt;&gt;"",AS$4&gt;=$J24,AS$4&lt;=IF($K24="",TODAY(),$K24),AS$67=0),"●","")</f>
        <v/>
      </c>
      <c r="AT24" s="50" t="str">
        <f aca="true">IF(AND($J24&lt;&gt;"",AT$4&gt;=$J24,AT$4&lt;=IF($K24="",TODAY(),$K24),AT$67=0),"●","")</f>
        <v/>
      </c>
      <c r="AU24" s="50" t="str">
        <f aca="true">IF(AND($J24&lt;&gt;"",AU$4&gt;=$J24,AU$4&lt;=IF($K24="",TODAY(),$K24),AU$67=0),"●","")</f>
        <v/>
      </c>
      <c r="AV24" s="50" t="str">
        <f aca="true">IF(AND($J24&lt;&gt;"",AV$4&gt;=$J24,AV$4&lt;=IF($K24="",TODAY(),$K24),AV$67=0),"●","")</f>
        <v/>
      </c>
      <c r="AW24" s="50" t="str">
        <f aca="true">IF(AND($J24&lt;&gt;"",AW$4&gt;=$J24,AW$4&lt;=IF($K24="",TODAY(),$K24),AW$67=0),"●","")</f>
        <v/>
      </c>
      <c r="AX24" s="51" t="s">
        <v>218</v>
      </c>
    </row>
    <row r="25" customFormat="false" ht="15" hidden="false" customHeight="false" outlineLevel="0" collapsed="false">
      <c r="A25" s="28" t="s">
        <v>219</v>
      </c>
      <c r="B25" s="29" t="s">
        <v>219</v>
      </c>
      <c r="C25" s="29" t="s">
        <v>71</v>
      </c>
      <c r="D25" s="29"/>
      <c r="E25" s="29" t="n">
        <f aca="false">NETWORKDAYS(H25,I25,Holidays!$A$2:$A$40)</f>
        <v>5</v>
      </c>
      <c r="F25" s="29"/>
      <c r="G25" s="29"/>
      <c r="H25" s="58" t="n">
        <f aca="false">MIN(H26:H33)</f>
        <v>46308</v>
      </c>
      <c r="I25" s="58" t="n">
        <f aca="false">MAX(I26:I33)</f>
        <v>46314</v>
      </c>
      <c r="J25" s="29"/>
      <c r="K25" s="29"/>
      <c r="L25" s="29"/>
      <c r="M25" s="29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</row>
    <row r="26" customFormat="false" ht="15" hidden="false" customHeight="false" outlineLevel="0" collapsed="false">
      <c r="A26" s="47" t="s">
        <v>220</v>
      </c>
      <c r="B26" s="47" t="s">
        <v>219</v>
      </c>
      <c r="C26" s="47" t="s">
        <v>221</v>
      </c>
      <c r="D26" s="56" t="s">
        <v>56</v>
      </c>
      <c r="E26" s="47" t="n">
        <v>1</v>
      </c>
      <c r="F26" s="47" t="n">
        <v>1</v>
      </c>
      <c r="G26" s="47" t="s">
        <v>197</v>
      </c>
      <c r="H26" s="49" t="n">
        <v>46308</v>
      </c>
      <c r="I26" s="49" t="n">
        <v>46308</v>
      </c>
      <c r="J26" s="49" t="n">
        <f aca="false">IF('Project Status'!E26="","",'Project Status'!E26)</f>
        <v>46318</v>
      </c>
      <c r="K26" s="49" t="n">
        <f aca="false">IF('Project Status'!F26="","",'Project Status'!F26)</f>
        <v>46319</v>
      </c>
      <c r="L26" s="47" t="str">
        <f aca="false">IF('Project Status'!G26="","",'Project Status'!G26)</f>
        <v>Completed</v>
      </c>
      <c r="M26" s="47" t="n">
        <f aca="false">IF(OR(K26="",I26=""),"",IF(K26&gt;=I26,NETWORKDAYS(I26,K26,Holidays!$A$2:$A$40)-1,-(NETWORKDAYS(K26,I26,Holidays!$A$2:$A$40)-1)))</f>
        <v>8</v>
      </c>
      <c r="N26" s="50" t="str">
        <f aca="true">IF(AND($J26&lt;&gt;"",N$4&gt;=$J26,N$4&lt;=IF($K26="",TODAY(),$K26),N$67=0),"●","")</f>
        <v/>
      </c>
      <c r="O26" s="50" t="str">
        <f aca="true">IF(AND($J26&lt;&gt;"",O$4&gt;=$J26,O$4&lt;=IF($K26="",TODAY(),$K26),O$67=0),"●","")</f>
        <v/>
      </c>
      <c r="P26" s="50" t="str">
        <f aca="true">IF(AND($J26&lt;&gt;"",P$4&gt;=$J26,P$4&lt;=IF($K26="",TODAY(),$K26),P$67=0),"●","")</f>
        <v/>
      </c>
      <c r="Q26" s="50" t="str">
        <f aca="true">IF(AND($J26&lt;&gt;"",Q$4&gt;=$J26,Q$4&lt;=IF($K26="",TODAY(),$K26),Q$67=0),"●","")</f>
        <v/>
      </c>
      <c r="R26" s="50" t="str">
        <f aca="true">IF(AND($J26&lt;&gt;"",R$4&gt;=$J26,R$4&lt;=IF($K26="",TODAY(),$K26),R$67=0),"●","")</f>
        <v/>
      </c>
      <c r="S26" s="50" t="str">
        <f aca="true">IF(AND($J26&lt;&gt;"",S$4&gt;=$J26,S$4&lt;=IF($K26="",TODAY(),$K26),S$67=0),"●","")</f>
        <v/>
      </c>
      <c r="T26" s="50" t="str">
        <f aca="true">IF(AND($J26&lt;&gt;"",T$4&gt;=$J26,T$4&lt;=IF($K26="",TODAY(),$K26),T$67=0),"●","")</f>
        <v/>
      </c>
      <c r="U26" s="50" t="str">
        <f aca="true">IF(AND($J26&lt;&gt;"",U$4&gt;=$J26,U$4&lt;=IF($K26="",TODAY(),$K26),U$67=0),"●","")</f>
        <v/>
      </c>
      <c r="V26" s="50" t="str">
        <f aca="true">IF(AND($J26&lt;&gt;"",V$4&gt;=$J26,V$4&lt;=IF($K26="",TODAY(),$K26),V$67=0),"●","")</f>
        <v/>
      </c>
      <c r="W26" s="50" t="str">
        <f aca="true">IF(AND($J26&lt;&gt;"",W$4&gt;=$J26,W$4&lt;=IF($K26="",TODAY(),$K26),W$67=0),"●","")</f>
        <v/>
      </c>
      <c r="X26" s="50" t="str">
        <f aca="true">IF(AND($J26&lt;&gt;"",X$4&gt;=$J26,X$4&lt;=IF($K26="",TODAY(),$K26),X$67=0),"●","")</f>
        <v/>
      </c>
      <c r="Y26" s="50" t="str">
        <f aca="true">IF(AND($J26&lt;&gt;"",Y$4&gt;=$J26,Y$4&lt;=IF($K26="",TODAY(),$K26),Y$67=0),"●","")</f>
        <v/>
      </c>
      <c r="Z26" s="50" t="str">
        <f aca="true">IF(AND($J26&lt;&gt;"",Z$4&gt;=$J26,Z$4&lt;=IF($K26="",TODAY(),$K26),Z$67=0),"●","")</f>
        <v/>
      </c>
      <c r="AA26" s="50" t="str">
        <f aca="true">IF(AND($J26&lt;&gt;"",AA$4&gt;=$J26,AA$4&lt;=IF($K26="",TODAY(),$K26),AA$67=0),"●","")</f>
        <v/>
      </c>
      <c r="AB26" s="50" t="str">
        <f aca="true">IF(AND($J26&lt;&gt;"",AB$4&gt;=$J26,AB$4&lt;=IF($K26="",TODAY(),$K26),AB$67=0),"●","")</f>
        <v/>
      </c>
      <c r="AC26" s="50" t="str">
        <f aca="true">IF(AND($J26&lt;&gt;"",AC$4&gt;=$J26,AC$4&lt;=IF($K26="",TODAY(),$K26),AC$67=0),"●","")</f>
        <v/>
      </c>
      <c r="AD26" s="50" t="str">
        <f aca="true">IF(AND($J26&lt;&gt;"",AD$4&gt;=$J26,AD$4&lt;=IF($K26="",TODAY(),$K26),AD$67=0),"●","")</f>
        <v/>
      </c>
      <c r="AE26" s="50" t="str">
        <f aca="true">IF(AND($J26&lt;&gt;"",AE$4&gt;=$J26,AE$4&lt;=IF($K26="",TODAY(),$K26),AE$67=0),"●","")</f>
        <v/>
      </c>
      <c r="AF26" s="50" t="str">
        <f aca="true">IF(AND($J26&lt;&gt;"",AF$4&gt;=$J26,AF$4&lt;=IF($K26="",TODAY(),$K26),AF$67=0),"●","")</f>
        <v/>
      </c>
      <c r="AG26" s="50" t="str">
        <f aca="true">IF(AND($J26&lt;&gt;"",AG$4&gt;=$J26,AG$4&lt;=IF($K26="",TODAY(),$K26),AG$67=0),"●","")</f>
        <v/>
      </c>
      <c r="AH26" s="50" t="str">
        <f aca="true">IF(AND($J26&lt;&gt;"",AH$4&gt;=$J26,AH$4&lt;=IF($K26="",TODAY(),$K26),AH$67=0),"●","")</f>
        <v/>
      </c>
      <c r="AI26" s="50" t="str">
        <f aca="true">IF(AND($J26&lt;&gt;"",AI$4&gt;=$J26,AI$4&lt;=IF($K26="",TODAY(),$K26),AI$67=0),"●","")</f>
        <v/>
      </c>
      <c r="AJ26" s="50" t="str">
        <f aca="true">IF(AND($J26&lt;&gt;"",AJ$4&gt;=$J26,AJ$4&lt;=IF($K26="",TODAY(),$K26),AJ$67=0),"●","")</f>
        <v/>
      </c>
      <c r="AK26" s="50" t="str">
        <f aca="true">IF(AND($J26&lt;&gt;"",AK$4&gt;=$J26,AK$4&lt;=IF($K26="",TODAY(),$K26),AK$67=0),"●","")</f>
        <v/>
      </c>
      <c r="AL26" s="50" t="str">
        <f aca="true">IF(AND($J26&lt;&gt;"",AL$4&gt;=$J26,AL$4&lt;=IF($K26="",TODAY(),$K26),AL$67=0),"●","")</f>
        <v/>
      </c>
      <c r="AM26" s="50" t="str">
        <f aca="true">IF(AND($J26&lt;&gt;"",AM$4&gt;=$J26,AM$4&lt;=IF($K26="",TODAY(),$K26),AM$67=0),"●","")</f>
        <v/>
      </c>
      <c r="AN26" s="50" t="str">
        <f aca="true">IF(AND($J26&lt;&gt;"",AN$4&gt;=$J26,AN$4&lt;=IF($K26="",TODAY(),$K26),AN$67=0),"●","")</f>
        <v>●</v>
      </c>
      <c r="AO26" s="50" t="str">
        <f aca="true">IF(AND($J26&lt;&gt;"",AO$4&gt;=$J26,AO$4&lt;=IF($K26="",TODAY(),$K26),AO$67=0),"●","")</f>
        <v/>
      </c>
      <c r="AP26" s="50" t="str">
        <f aca="true">IF(AND($J26&lt;&gt;"",AP$4&gt;=$J26,AP$4&lt;=IF($K26="",TODAY(),$K26),AP$67=0),"●","")</f>
        <v/>
      </c>
      <c r="AQ26" s="50" t="str">
        <f aca="true">IF(AND($J26&lt;&gt;"",AQ$4&gt;=$J26,AQ$4&lt;=IF($K26="",TODAY(),$K26),AQ$67=0),"●","")</f>
        <v/>
      </c>
      <c r="AR26" s="50" t="str">
        <f aca="true">IF(AND($J26&lt;&gt;"",AR$4&gt;=$J26,AR$4&lt;=IF($K26="",TODAY(),$K26),AR$67=0),"●","")</f>
        <v/>
      </c>
      <c r="AS26" s="50" t="str">
        <f aca="true">IF(AND($J26&lt;&gt;"",AS$4&gt;=$J26,AS$4&lt;=IF($K26="",TODAY(),$K26),AS$67=0),"●","")</f>
        <v/>
      </c>
      <c r="AT26" s="50" t="str">
        <f aca="true">IF(AND($J26&lt;&gt;"",AT$4&gt;=$J26,AT$4&lt;=IF($K26="",TODAY(),$K26),AT$67=0),"●","")</f>
        <v/>
      </c>
      <c r="AU26" s="50" t="str">
        <f aca="true">IF(AND($J26&lt;&gt;"",AU$4&gt;=$J26,AU$4&lt;=IF($K26="",TODAY(),$K26),AU$67=0),"●","")</f>
        <v/>
      </c>
      <c r="AV26" s="50" t="str">
        <f aca="true">IF(AND($J26&lt;&gt;"",AV$4&gt;=$J26,AV$4&lt;=IF($K26="",TODAY(),$K26),AV$67=0),"●","")</f>
        <v/>
      </c>
      <c r="AW26" s="50" t="str">
        <f aca="true">IF(AND($J26&lt;&gt;"",AW$4&gt;=$J26,AW$4&lt;=IF($K26="",TODAY(),$K26),AW$67=0),"●","")</f>
        <v/>
      </c>
      <c r="AX26" s="51" t="s">
        <v>222</v>
      </c>
    </row>
    <row r="27" customFormat="false" ht="15" hidden="false" customHeight="false" outlineLevel="0" collapsed="false">
      <c r="A27" s="47" t="s">
        <v>223</v>
      </c>
      <c r="B27" s="47" t="s">
        <v>219</v>
      </c>
      <c r="C27" s="47" t="s">
        <v>224</v>
      </c>
      <c r="D27" s="48" t="s">
        <v>33</v>
      </c>
      <c r="E27" s="47" t="n">
        <v>1</v>
      </c>
      <c r="F27" s="47" t="n">
        <v>1</v>
      </c>
      <c r="G27" s="47" t="s">
        <v>203</v>
      </c>
      <c r="H27" s="49" t="n">
        <v>46308</v>
      </c>
      <c r="I27" s="49" t="n">
        <v>46308</v>
      </c>
      <c r="J27" s="49" t="n">
        <f aca="false">IF('Project Status'!E27="","",'Project Status'!E27)</f>
        <v>46319</v>
      </c>
      <c r="K27" s="49" t="n">
        <f aca="false">IF('Project Status'!F27="","",'Project Status'!F27)</f>
        <v>46319</v>
      </c>
      <c r="L27" s="47" t="str">
        <f aca="false">IF('Project Status'!G27="","",'Project Status'!G27)</f>
        <v>Completed</v>
      </c>
      <c r="M27" s="47" t="n">
        <f aca="false">IF(OR(K27="",I27=""),"",IF(K27&gt;=I27,NETWORKDAYS(I27,K27,Holidays!$A$2:$A$40)-1,-(NETWORKDAYS(K27,I27,Holidays!$A$2:$A$40)-1)))</f>
        <v>8</v>
      </c>
      <c r="N27" s="50" t="str">
        <f aca="true">IF(AND($J27&lt;&gt;"",N$4&gt;=$J27,N$4&lt;=IF($K27="",TODAY(),$K27),N$67=0),"●","")</f>
        <v/>
      </c>
      <c r="O27" s="50" t="str">
        <f aca="true">IF(AND($J27&lt;&gt;"",O$4&gt;=$J27,O$4&lt;=IF($K27="",TODAY(),$K27),O$67=0),"●","")</f>
        <v/>
      </c>
      <c r="P27" s="50" t="str">
        <f aca="true">IF(AND($J27&lt;&gt;"",P$4&gt;=$J27,P$4&lt;=IF($K27="",TODAY(),$K27),P$67=0),"●","")</f>
        <v/>
      </c>
      <c r="Q27" s="50" t="str">
        <f aca="true">IF(AND($J27&lt;&gt;"",Q$4&gt;=$J27,Q$4&lt;=IF($K27="",TODAY(),$K27),Q$67=0),"●","")</f>
        <v/>
      </c>
      <c r="R27" s="50" t="str">
        <f aca="true">IF(AND($J27&lt;&gt;"",R$4&gt;=$J27,R$4&lt;=IF($K27="",TODAY(),$K27),R$67=0),"●","")</f>
        <v/>
      </c>
      <c r="S27" s="50" t="str">
        <f aca="true">IF(AND($J27&lt;&gt;"",S$4&gt;=$J27,S$4&lt;=IF($K27="",TODAY(),$K27),S$67=0),"●","")</f>
        <v/>
      </c>
      <c r="T27" s="50" t="str">
        <f aca="true">IF(AND($J27&lt;&gt;"",T$4&gt;=$J27,T$4&lt;=IF($K27="",TODAY(),$K27),T$67=0),"●","")</f>
        <v/>
      </c>
      <c r="U27" s="50" t="str">
        <f aca="true">IF(AND($J27&lt;&gt;"",U$4&gt;=$J27,U$4&lt;=IF($K27="",TODAY(),$K27),U$67=0),"●","")</f>
        <v/>
      </c>
      <c r="V27" s="50" t="str">
        <f aca="true">IF(AND($J27&lt;&gt;"",V$4&gt;=$J27,V$4&lt;=IF($K27="",TODAY(),$K27),V$67=0),"●","")</f>
        <v/>
      </c>
      <c r="W27" s="50" t="str">
        <f aca="true">IF(AND($J27&lt;&gt;"",W$4&gt;=$J27,W$4&lt;=IF($K27="",TODAY(),$K27),W$67=0),"●","")</f>
        <v/>
      </c>
      <c r="X27" s="50" t="str">
        <f aca="true">IF(AND($J27&lt;&gt;"",X$4&gt;=$J27,X$4&lt;=IF($K27="",TODAY(),$K27),X$67=0),"●","")</f>
        <v/>
      </c>
      <c r="Y27" s="50" t="str">
        <f aca="true">IF(AND($J27&lt;&gt;"",Y$4&gt;=$J27,Y$4&lt;=IF($K27="",TODAY(),$K27),Y$67=0),"●","")</f>
        <v/>
      </c>
      <c r="Z27" s="50" t="str">
        <f aca="true">IF(AND($J27&lt;&gt;"",Z$4&gt;=$J27,Z$4&lt;=IF($K27="",TODAY(),$K27),Z$67=0),"●","")</f>
        <v/>
      </c>
      <c r="AA27" s="50" t="str">
        <f aca="true">IF(AND($J27&lt;&gt;"",AA$4&gt;=$J27,AA$4&lt;=IF($K27="",TODAY(),$K27),AA$67=0),"●","")</f>
        <v/>
      </c>
      <c r="AB27" s="50" t="str">
        <f aca="true">IF(AND($J27&lt;&gt;"",AB$4&gt;=$J27,AB$4&lt;=IF($K27="",TODAY(),$K27),AB$67=0),"●","")</f>
        <v/>
      </c>
      <c r="AC27" s="50" t="str">
        <f aca="true">IF(AND($J27&lt;&gt;"",AC$4&gt;=$J27,AC$4&lt;=IF($K27="",TODAY(),$K27),AC$67=0),"●","")</f>
        <v/>
      </c>
      <c r="AD27" s="50" t="str">
        <f aca="true">IF(AND($J27&lt;&gt;"",AD$4&gt;=$J27,AD$4&lt;=IF($K27="",TODAY(),$K27),AD$67=0),"●","")</f>
        <v/>
      </c>
      <c r="AE27" s="50" t="str">
        <f aca="true">IF(AND($J27&lt;&gt;"",AE$4&gt;=$J27,AE$4&lt;=IF($K27="",TODAY(),$K27),AE$67=0),"●","")</f>
        <v/>
      </c>
      <c r="AF27" s="50" t="str">
        <f aca="true">IF(AND($J27&lt;&gt;"",AF$4&gt;=$J27,AF$4&lt;=IF($K27="",TODAY(),$K27),AF$67=0),"●","")</f>
        <v/>
      </c>
      <c r="AG27" s="50" t="str">
        <f aca="true">IF(AND($J27&lt;&gt;"",AG$4&gt;=$J27,AG$4&lt;=IF($K27="",TODAY(),$K27),AG$67=0),"●","")</f>
        <v/>
      </c>
      <c r="AH27" s="50" t="str">
        <f aca="true">IF(AND($J27&lt;&gt;"",AH$4&gt;=$J27,AH$4&lt;=IF($K27="",TODAY(),$K27),AH$67=0),"●","")</f>
        <v/>
      </c>
      <c r="AI27" s="50" t="str">
        <f aca="true">IF(AND($J27&lt;&gt;"",AI$4&gt;=$J27,AI$4&lt;=IF($K27="",TODAY(),$K27),AI$67=0),"●","")</f>
        <v/>
      </c>
      <c r="AJ27" s="50" t="str">
        <f aca="true">IF(AND($J27&lt;&gt;"",AJ$4&gt;=$J27,AJ$4&lt;=IF($K27="",TODAY(),$K27),AJ$67=0),"●","")</f>
        <v/>
      </c>
      <c r="AK27" s="50" t="str">
        <f aca="true">IF(AND($J27&lt;&gt;"",AK$4&gt;=$J27,AK$4&lt;=IF($K27="",TODAY(),$K27),AK$67=0),"●","")</f>
        <v/>
      </c>
      <c r="AL27" s="50" t="str">
        <f aca="true">IF(AND($J27&lt;&gt;"",AL$4&gt;=$J27,AL$4&lt;=IF($K27="",TODAY(),$K27),AL$67=0),"●","")</f>
        <v/>
      </c>
      <c r="AM27" s="50" t="str">
        <f aca="true">IF(AND($J27&lt;&gt;"",AM$4&gt;=$J27,AM$4&lt;=IF($K27="",TODAY(),$K27),AM$67=0),"●","")</f>
        <v/>
      </c>
      <c r="AN27" s="50" t="str">
        <f aca="true">IF(AND($J27&lt;&gt;"",AN$4&gt;=$J27,AN$4&lt;=IF($K27="",TODAY(),$K27),AN$67=0),"●","")</f>
        <v/>
      </c>
      <c r="AO27" s="50" t="str">
        <f aca="true">IF(AND($J27&lt;&gt;"",AO$4&gt;=$J27,AO$4&lt;=IF($K27="",TODAY(),$K27),AO$67=0),"●","")</f>
        <v/>
      </c>
      <c r="AP27" s="50" t="str">
        <f aca="true">IF(AND($J27&lt;&gt;"",AP$4&gt;=$J27,AP$4&lt;=IF($K27="",TODAY(),$K27),AP$67=0),"●","")</f>
        <v/>
      </c>
      <c r="AQ27" s="50" t="str">
        <f aca="true">IF(AND($J27&lt;&gt;"",AQ$4&gt;=$J27,AQ$4&lt;=IF($K27="",TODAY(),$K27),AQ$67=0),"●","")</f>
        <v/>
      </c>
      <c r="AR27" s="50" t="str">
        <f aca="true">IF(AND($J27&lt;&gt;"",AR$4&gt;=$J27,AR$4&lt;=IF($K27="",TODAY(),$K27),AR$67=0),"●","")</f>
        <v/>
      </c>
      <c r="AS27" s="50" t="str">
        <f aca="true">IF(AND($J27&lt;&gt;"",AS$4&gt;=$J27,AS$4&lt;=IF($K27="",TODAY(),$K27),AS$67=0),"●","")</f>
        <v/>
      </c>
      <c r="AT27" s="50" t="str">
        <f aca="true">IF(AND($J27&lt;&gt;"",AT$4&gt;=$J27,AT$4&lt;=IF($K27="",TODAY(),$K27),AT$67=0),"●","")</f>
        <v/>
      </c>
      <c r="AU27" s="50" t="str">
        <f aca="true">IF(AND($J27&lt;&gt;"",AU$4&gt;=$J27,AU$4&lt;=IF($K27="",TODAY(),$K27),AU$67=0),"●","")</f>
        <v/>
      </c>
      <c r="AV27" s="50" t="str">
        <f aca="true">IF(AND($J27&lt;&gt;"",AV$4&gt;=$J27,AV$4&lt;=IF($K27="",TODAY(),$K27),AV$67=0),"●","")</f>
        <v/>
      </c>
      <c r="AW27" s="50" t="str">
        <f aca="true">IF(AND($J27&lt;&gt;"",AW$4&gt;=$J27,AW$4&lt;=IF($K27="",TODAY(),$K27),AW$67=0),"●","")</f>
        <v/>
      </c>
      <c r="AX27" s="51" t="s">
        <v>225</v>
      </c>
    </row>
    <row r="28" customFormat="false" ht="15" hidden="false" customHeight="false" outlineLevel="0" collapsed="false">
      <c r="A28" s="47" t="s">
        <v>226</v>
      </c>
      <c r="B28" s="47" t="s">
        <v>219</v>
      </c>
      <c r="C28" s="47" t="s">
        <v>227</v>
      </c>
      <c r="D28" s="48" t="s">
        <v>33</v>
      </c>
      <c r="E28" s="47" t="n">
        <v>2</v>
      </c>
      <c r="F28" s="47" t="n">
        <v>2</v>
      </c>
      <c r="G28" s="47" t="s">
        <v>228</v>
      </c>
      <c r="H28" s="49" t="n">
        <v>46310</v>
      </c>
      <c r="I28" s="49" t="n">
        <v>46311</v>
      </c>
      <c r="J28" s="49" t="n">
        <f aca="false">IF('Project Status'!E28="","",'Project Status'!E28)</f>
        <v>46319</v>
      </c>
      <c r="K28" s="49" t="n">
        <f aca="false">IF('Project Status'!F28="","",'Project Status'!F28)</f>
        <v>46319</v>
      </c>
      <c r="L28" s="47" t="str">
        <f aca="false">IF('Project Status'!G28="","",'Project Status'!G28)</f>
        <v>Completed</v>
      </c>
      <c r="M28" s="47" t="n">
        <f aca="false">IF(OR(K28="",I28=""),"",IF(K28&gt;=I28,NETWORKDAYS(I28,K28,Holidays!$A$2:$A$40)-1,-(NETWORKDAYS(K28,I28,Holidays!$A$2:$A$40)-1)))</f>
        <v>5</v>
      </c>
      <c r="N28" s="50" t="str">
        <f aca="true">IF(AND($J28&lt;&gt;"",N$4&gt;=$J28,N$4&lt;=IF($K28="",TODAY(),$K28),N$67=0),"●","")</f>
        <v/>
      </c>
      <c r="O28" s="50" t="str">
        <f aca="true">IF(AND($J28&lt;&gt;"",O$4&gt;=$J28,O$4&lt;=IF($K28="",TODAY(),$K28),O$67=0),"●","")</f>
        <v/>
      </c>
      <c r="P28" s="50" t="str">
        <f aca="true">IF(AND($J28&lt;&gt;"",P$4&gt;=$J28,P$4&lt;=IF($K28="",TODAY(),$K28),P$67=0),"●","")</f>
        <v/>
      </c>
      <c r="Q28" s="50" t="str">
        <f aca="true">IF(AND($J28&lt;&gt;"",Q$4&gt;=$J28,Q$4&lt;=IF($K28="",TODAY(),$K28),Q$67=0),"●","")</f>
        <v/>
      </c>
      <c r="R28" s="50" t="str">
        <f aca="true">IF(AND($J28&lt;&gt;"",R$4&gt;=$J28,R$4&lt;=IF($K28="",TODAY(),$K28),R$67=0),"●","")</f>
        <v/>
      </c>
      <c r="S28" s="50" t="str">
        <f aca="true">IF(AND($J28&lt;&gt;"",S$4&gt;=$J28,S$4&lt;=IF($K28="",TODAY(),$K28),S$67=0),"●","")</f>
        <v/>
      </c>
      <c r="T28" s="50" t="str">
        <f aca="true">IF(AND($J28&lt;&gt;"",T$4&gt;=$J28,T$4&lt;=IF($K28="",TODAY(),$K28),T$67=0),"●","")</f>
        <v/>
      </c>
      <c r="U28" s="50" t="str">
        <f aca="true">IF(AND($J28&lt;&gt;"",U$4&gt;=$J28,U$4&lt;=IF($K28="",TODAY(),$K28),U$67=0),"●","")</f>
        <v/>
      </c>
      <c r="V28" s="50" t="str">
        <f aca="true">IF(AND($J28&lt;&gt;"",V$4&gt;=$J28,V$4&lt;=IF($K28="",TODAY(),$K28),V$67=0),"●","")</f>
        <v/>
      </c>
      <c r="W28" s="50" t="str">
        <f aca="true">IF(AND($J28&lt;&gt;"",W$4&gt;=$J28,W$4&lt;=IF($K28="",TODAY(),$K28),W$67=0),"●","")</f>
        <v/>
      </c>
      <c r="X28" s="50" t="str">
        <f aca="true">IF(AND($J28&lt;&gt;"",X$4&gt;=$J28,X$4&lt;=IF($K28="",TODAY(),$K28),X$67=0),"●","")</f>
        <v/>
      </c>
      <c r="Y28" s="50" t="str">
        <f aca="true">IF(AND($J28&lt;&gt;"",Y$4&gt;=$J28,Y$4&lt;=IF($K28="",TODAY(),$K28),Y$67=0),"●","")</f>
        <v/>
      </c>
      <c r="Z28" s="50" t="str">
        <f aca="true">IF(AND($J28&lt;&gt;"",Z$4&gt;=$J28,Z$4&lt;=IF($K28="",TODAY(),$K28),Z$67=0),"●","")</f>
        <v/>
      </c>
      <c r="AA28" s="50" t="str">
        <f aca="true">IF(AND($J28&lt;&gt;"",AA$4&gt;=$J28,AA$4&lt;=IF($K28="",TODAY(),$K28),AA$67=0),"●","")</f>
        <v/>
      </c>
      <c r="AB28" s="50" t="str">
        <f aca="true">IF(AND($J28&lt;&gt;"",AB$4&gt;=$J28,AB$4&lt;=IF($K28="",TODAY(),$K28),AB$67=0),"●","")</f>
        <v/>
      </c>
      <c r="AC28" s="50" t="str">
        <f aca="true">IF(AND($J28&lt;&gt;"",AC$4&gt;=$J28,AC$4&lt;=IF($K28="",TODAY(),$K28),AC$67=0),"●","")</f>
        <v/>
      </c>
      <c r="AD28" s="50" t="str">
        <f aca="true">IF(AND($J28&lt;&gt;"",AD$4&gt;=$J28,AD$4&lt;=IF($K28="",TODAY(),$K28),AD$67=0),"●","")</f>
        <v/>
      </c>
      <c r="AE28" s="50" t="str">
        <f aca="true">IF(AND($J28&lt;&gt;"",AE$4&gt;=$J28,AE$4&lt;=IF($K28="",TODAY(),$K28),AE$67=0),"●","")</f>
        <v/>
      </c>
      <c r="AF28" s="50" t="str">
        <f aca="true">IF(AND($J28&lt;&gt;"",AF$4&gt;=$J28,AF$4&lt;=IF($K28="",TODAY(),$K28),AF$67=0),"●","")</f>
        <v/>
      </c>
      <c r="AG28" s="50" t="str">
        <f aca="true">IF(AND($J28&lt;&gt;"",AG$4&gt;=$J28,AG$4&lt;=IF($K28="",TODAY(),$K28),AG$67=0),"●","")</f>
        <v/>
      </c>
      <c r="AH28" s="50" t="str">
        <f aca="true">IF(AND($J28&lt;&gt;"",AH$4&gt;=$J28,AH$4&lt;=IF($K28="",TODAY(),$K28),AH$67=0),"●","")</f>
        <v/>
      </c>
      <c r="AI28" s="50" t="str">
        <f aca="true">IF(AND($J28&lt;&gt;"",AI$4&gt;=$J28,AI$4&lt;=IF($K28="",TODAY(),$K28),AI$67=0),"●","")</f>
        <v/>
      </c>
      <c r="AJ28" s="50" t="str">
        <f aca="true">IF(AND($J28&lt;&gt;"",AJ$4&gt;=$J28,AJ$4&lt;=IF($K28="",TODAY(),$K28),AJ$67=0),"●","")</f>
        <v/>
      </c>
      <c r="AK28" s="50" t="str">
        <f aca="true">IF(AND($J28&lt;&gt;"",AK$4&gt;=$J28,AK$4&lt;=IF($K28="",TODAY(),$K28),AK$67=0),"●","")</f>
        <v/>
      </c>
      <c r="AL28" s="50" t="str">
        <f aca="true">IF(AND($J28&lt;&gt;"",AL$4&gt;=$J28,AL$4&lt;=IF($K28="",TODAY(),$K28),AL$67=0),"●","")</f>
        <v/>
      </c>
      <c r="AM28" s="50" t="str">
        <f aca="true">IF(AND($J28&lt;&gt;"",AM$4&gt;=$J28,AM$4&lt;=IF($K28="",TODAY(),$K28),AM$67=0),"●","")</f>
        <v/>
      </c>
      <c r="AN28" s="50" t="str">
        <f aca="true">IF(AND($J28&lt;&gt;"",AN$4&gt;=$J28,AN$4&lt;=IF($K28="",TODAY(),$K28),AN$67=0),"●","")</f>
        <v/>
      </c>
      <c r="AO28" s="50" t="str">
        <f aca="true">IF(AND($J28&lt;&gt;"",AO$4&gt;=$J28,AO$4&lt;=IF($K28="",TODAY(),$K28),AO$67=0),"●","")</f>
        <v/>
      </c>
      <c r="AP28" s="50" t="str">
        <f aca="true">IF(AND($J28&lt;&gt;"",AP$4&gt;=$J28,AP$4&lt;=IF($K28="",TODAY(),$K28),AP$67=0),"●","")</f>
        <v/>
      </c>
      <c r="AQ28" s="50" t="str">
        <f aca="true">IF(AND($J28&lt;&gt;"",AQ$4&gt;=$J28,AQ$4&lt;=IF($K28="",TODAY(),$K28),AQ$67=0),"●","")</f>
        <v/>
      </c>
      <c r="AR28" s="50" t="str">
        <f aca="true">IF(AND($J28&lt;&gt;"",AR$4&gt;=$J28,AR$4&lt;=IF($K28="",TODAY(),$K28),AR$67=0),"●","")</f>
        <v/>
      </c>
      <c r="AS28" s="50" t="str">
        <f aca="true">IF(AND($J28&lt;&gt;"",AS$4&gt;=$J28,AS$4&lt;=IF($K28="",TODAY(),$K28),AS$67=0),"●","")</f>
        <v/>
      </c>
      <c r="AT28" s="50" t="str">
        <f aca="true">IF(AND($J28&lt;&gt;"",AT$4&gt;=$J28,AT$4&lt;=IF($K28="",TODAY(),$K28),AT$67=0),"●","")</f>
        <v/>
      </c>
      <c r="AU28" s="50" t="str">
        <f aca="true">IF(AND($J28&lt;&gt;"",AU$4&gt;=$J28,AU$4&lt;=IF($K28="",TODAY(),$K28),AU$67=0),"●","")</f>
        <v/>
      </c>
      <c r="AV28" s="50" t="str">
        <f aca="true">IF(AND($J28&lt;&gt;"",AV$4&gt;=$J28,AV$4&lt;=IF($K28="",TODAY(),$K28),AV$67=0),"●","")</f>
        <v/>
      </c>
      <c r="AW28" s="50" t="str">
        <f aca="true">IF(AND($J28&lt;&gt;"",AW$4&gt;=$J28,AW$4&lt;=IF($K28="",TODAY(),$K28),AW$67=0),"●","")</f>
        <v/>
      </c>
      <c r="AX28" s="51" t="s">
        <v>229</v>
      </c>
    </row>
    <row r="29" customFormat="false" ht="15" hidden="false" customHeight="false" outlineLevel="0" collapsed="false">
      <c r="A29" s="47" t="s">
        <v>230</v>
      </c>
      <c r="B29" s="47" t="s">
        <v>219</v>
      </c>
      <c r="C29" s="47" t="s">
        <v>231</v>
      </c>
      <c r="D29" s="54" t="s">
        <v>43</v>
      </c>
      <c r="E29" s="47" t="n">
        <v>3</v>
      </c>
      <c r="F29" s="47" t="n">
        <v>3</v>
      </c>
      <c r="G29" s="47" t="s">
        <v>194</v>
      </c>
      <c r="H29" s="49" t="n">
        <v>46308</v>
      </c>
      <c r="I29" s="49" t="n">
        <v>46310</v>
      </c>
      <c r="J29" s="49" t="n">
        <f aca="false">IF('Project Status'!E29="","",'Project Status'!E29)</f>
        <v>46318</v>
      </c>
      <c r="K29" s="49" t="n">
        <f aca="false">IF('Project Status'!F29="","",'Project Status'!F29)</f>
        <v>46321</v>
      </c>
      <c r="L29" s="47" t="str">
        <f aca="false">IF('Project Status'!G29="","",'Project Status'!G29)</f>
        <v>Completed</v>
      </c>
      <c r="M29" s="47" t="n">
        <f aca="false">IF(OR(K29="",I29=""),"",IF(K29&gt;=I29,NETWORKDAYS(I29,K29,Holidays!$A$2:$A$40)-1,-(NETWORKDAYS(K29,I29,Holidays!$A$2:$A$40)-1)))</f>
        <v>7</v>
      </c>
      <c r="N29" s="50" t="str">
        <f aca="true">IF(AND($J29&lt;&gt;"",N$4&gt;=$J29,N$4&lt;=IF($K29="",TODAY(),$K29),N$67=0),"●","")</f>
        <v/>
      </c>
      <c r="O29" s="50" t="str">
        <f aca="true">IF(AND($J29&lt;&gt;"",O$4&gt;=$J29,O$4&lt;=IF($K29="",TODAY(),$K29),O$67=0),"●","")</f>
        <v/>
      </c>
      <c r="P29" s="50" t="str">
        <f aca="true">IF(AND($J29&lt;&gt;"",P$4&gt;=$J29,P$4&lt;=IF($K29="",TODAY(),$K29),P$67=0),"●","")</f>
        <v/>
      </c>
      <c r="Q29" s="50" t="str">
        <f aca="true">IF(AND($J29&lt;&gt;"",Q$4&gt;=$J29,Q$4&lt;=IF($K29="",TODAY(),$K29),Q$67=0),"●","")</f>
        <v/>
      </c>
      <c r="R29" s="50" t="str">
        <f aca="true">IF(AND($J29&lt;&gt;"",R$4&gt;=$J29,R$4&lt;=IF($K29="",TODAY(),$K29),R$67=0),"●","")</f>
        <v/>
      </c>
      <c r="S29" s="50" t="str">
        <f aca="true">IF(AND($J29&lt;&gt;"",S$4&gt;=$J29,S$4&lt;=IF($K29="",TODAY(),$K29),S$67=0),"●","")</f>
        <v/>
      </c>
      <c r="T29" s="50" t="str">
        <f aca="true">IF(AND($J29&lt;&gt;"",T$4&gt;=$J29,T$4&lt;=IF($K29="",TODAY(),$K29),T$67=0),"●","")</f>
        <v/>
      </c>
      <c r="U29" s="50" t="str">
        <f aca="true">IF(AND($J29&lt;&gt;"",U$4&gt;=$J29,U$4&lt;=IF($K29="",TODAY(),$K29),U$67=0),"●","")</f>
        <v/>
      </c>
      <c r="V29" s="50" t="str">
        <f aca="true">IF(AND($J29&lt;&gt;"",V$4&gt;=$J29,V$4&lt;=IF($K29="",TODAY(),$K29),V$67=0),"●","")</f>
        <v/>
      </c>
      <c r="W29" s="50" t="str">
        <f aca="true">IF(AND($J29&lt;&gt;"",W$4&gt;=$J29,W$4&lt;=IF($K29="",TODAY(),$K29),W$67=0),"●","")</f>
        <v/>
      </c>
      <c r="X29" s="50" t="str">
        <f aca="true">IF(AND($J29&lt;&gt;"",X$4&gt;=$J29,X$4&lt;=IF($K29="",TODAY(),$K29),X$67=0),"●","")</f>
        <v/>
      </c>
      <c r="Y29" s="50" t="str">
        <f aca="true">IF(AND($J29&lt;&gt;"",Y$4&gt;=$J29,Y$4&lt;=IF($K29="",TODAY(),$K29),Y$67=0),"●","")</f>
        <v/>
      </c>
      <c r="Z29" s="50" t="str">
        <f aca="true">IF(AND($J29&lt;&gt;"",Z$4&gt;=$J29,Z$4&lt;=IF($K29="",TODAY(),$K29),Z$67=0),"●","")</f>
        <v/>
      </c>
      <c r="AA29" s="50" t="str">
        <f aca="true">IF(AND($J29&lt;&gt;"",AA$4&gt;=$J29,AA$4&lt;=IF($K29="",TODAY(),$K29),AA$67=0),"●","")</f>
        <v/>
      </c>
      <c r="AB29" s="50" t="str">
        <f aca="true">IF(AND($J29&lt;&gt;"",AB$4&gt;=$J29,AB$4&lt;=IF($K29="",TODAY(),$K29),AB$67=0),"●","")</f>
        <v/>
      </c>
      <c r="AC29" s="50" t="str">
        <f aca="true">IF(AND($J29&lt;&gt;"",AC$4&gt;=$J29,AC$4&lt;=IF($K29="",TODAY(),$K29),AC$67=0),"●","")</f>
        <v/>
      </c>
      <c r="AD29" s="50" t="str">
        <f aca="true">IF(AND($J29&lt;&gt;"",AD$4&gt;=$J29,AD$4&lt;=IF($K29="",TODAY(),$K29),AD$67=0),"●","")</f>
        <v/>
      </c>
      <c r="AE29" s="50" t="str">
        <f aca="true">IF(AND($J29&lt;&gt;"",AE$4&gt;=$J29,AE$4&lt;=IF($K29="",TODAY(),$K29),AE$67=0),"●","")</f>
        <v/>
      </c>
      <c r="AF29" s="50" t="str">
        <f aca="true">IF(AND($J29&lt;&gt;"",AF$4&gt;=$J29,AF$4&lt;=IF($K29="",TODAY(),$K29),AF$67=0),"●","")</f>
        <v/>
      </c>
      <c r="AG29" s="50" t="str">
        <f aca="true">IF(AND($J29&lt;&gt;"",AG$4&gt;=$J29,AG$4&lt;=IF($K29="",TODAY(),$K29),AG$67=0),"●","")</f>
        <v/>
      </c>
      <c r="AH29" s="50" t="str">
        <f aca="true">IF(AND($J29&lt;&gt;"",AH$4&gt;=$J29,AH$4&lt;=IF($K29="",TODAY(),$K29),AH$67=0),"●","")</f>
        <v/>
      </c>
      <c r="AI29" s="50" t="str">
        <f aca="true">IF(AND($J29&lt;&gt;"",AI$4&gt;=$J29,AI$4&lt;=IF($K29="",TODAY(),$K29),AI$67=0),"●","")</f>
        <v/>
      </c>
      <c r="AJ29" s="50" t="str">
        <f aca="true">IF(AND($J29&lt;&gt;"",AJ$4&gt;=$J29,AJ$4&lt;=IF($K29="",TODAY(),$K29),AJ$67=0),"●","")</f>
        <v/>
      </c>
      <c r="AK29" s="50" t="str">
        <f aca="true">IF(AND($J29&lt;&gt;"",AK$4&gt;=$J29,AK$4&lt;=IF($K29="",TODAY(),$K29),AK$67=0),"●","")</f>
        <v/>
      </c>
      <c r="AL29" s="50" t="str">
        <f aca="true">IF(AND($J29&lt;&gt;"",AL$4&gt;=$J29,AL$4&lt;=IF($K29="",TODAY(),$K29),AL$67=0),"●","")</f>
        <v/>
      </c>
      <c r="AM29" s="50" t="str">
        <f aca="true">IF(AND($J29&lt;&gt;"",AM$4&gt;=$J29,AM$4&lt;=IF($K29="",TODAY(),$K29),AM$67=0),"●","")</f>
        <v/>
      </c>
      <c r="AN29" s="50" t="str">
        <f aca="true">IF(AND($J29&lt;&gt;"",AN$4&gt;=$J29,AN$4&lt;=IF($K29="",TODAY(),$K29),AN$67=0),"●","")</f>
        <v>●</v>
      </c>
      <c r="AO29" s="50" t="str">
        <f aca="true">IF(AND($J29&lt;&gt;"",AO$4&gt;=$J29,AO$4&lt;=IF($K29="",TODAY(),$K29),AO$67=0),"●","")</f>
        <v>●</v>
      </c>
      <c r="AP29" s="50" t="str">
        <f aca="true">IF(AND($J29&lt;&gt;"",AP$4&gt;=$J29,AP$4&lt;=IF($K29="",TODAY(),$K29),AP$67=0),"●","")</f>
        <v/>
      </c>
      <c r="AQ29" s="50" t="str">
        <f aca="true">IF(AND($J29&lt;&gt;"",AQ$4&gt;=$J29,AQ$4&lt;=IF($K29="",TODAY(),$K29),AQ$67=0),"●","")</f>
        <v/>
      </c>
      <c r="AR29" s="50" t="str">
        <f aca="true">IF(AND($J29&lt;&gt;"",AR$4&gt;=$J29,AR$4&lt;=IF($K29="",TODAY(),$K29),AR$67=0),"●","")</f>
        <v/>
      </c>
      <c r="AS29" s="50" t="str">
        <f aca="true">IF(AND($J29&lt;&gt;"",AS$4&gt;=$J29,AS$4&lt;=IF($K29="",TODAY(),$K29),AS$67=0),"●","")</f>
        <v/>
      </c>
      <c r="AT29" s="50" t="str">
        <f aca="true">IF(AND($J29&lt;&gt;"",AT$4&gt;=$J29,AT$4&lt;=IF($K29="",TODAY(),$K29),AT$67=0),"●","")</f>
        <v/>
      </c>
      <c r="AU29" s="50" t="str">
        <f aca="true">IF(AND($J29&lt;&gt;"",AU$4&gt;=$J29,AU$4&lt;=IF($K29="",TODAY(),$K29),AU$67=0),"●","")</f>
        <v/>
      </c>
      <c r="AV29" s="50" t="str">
        <f aca="true">IF(AND($J29&lt;&gt;"",AV$4&gt;=$J29,AV$4&lt;=IF($K29="",TODAY(),$K29),AV$67=0),"●","")</f>
        <v/>
      </c>
      <c r="AW29" s="50" t="str">
        <f aca="true">IF(AND($J29&lt;&gt;"",AW$4&gt;=$J29,AW$4&lt;=IF($K29="",TODAY(),$K29),AW$67=0),"●","")</f>
        <v/>
      </c>
      <c r="AX29" s="51" t="s">
        <v>232</v>
      </c>
    </row>
    <row r="30" customFormat="false" ht="15" hidden="false" customHeight="false" outlineLevel="0" collapsed="false">
      <c r="A30" s="47" t="s">
        <v>233</v>
      </c>
      <c r="B30" s="47" t="s">
        <v>219</v>
      </c>
      <c r="C30" s="47" t="s">
        <v>234</v>
      </c>
      <c r="D30" s="48" t="s">
        <v>33</v>
      </c>
      <c r="E30" s="47" t="n">
        <v>1</v>
      </c>
      <c r="F30" s="47" t="n">
        <v>1</v>
      </c>
      <c r="G30" s="47" t="s">
        <v>223</v>
      </c>
      <c r="H30" s="49" t="n">
        <v>46309</v>
      </c>
      <c r="I30" s="49" t="n">
        <v>46309</v>
      </c>
      <c r="J30" s="49" t="n">
        <f aca="false">IF('Project Status'!E30="","",'Project Status'!E30)</f>
        <v>46319</v>
      </c>
      <c r="K30" s="49" t="n">
        <f aca="false">IF('Project Status'!F30="","",'Project Status'!F30)</f>
        <v>46319</v>
      </c>
      <c r="L30" s="47" t="str">
        <f aca="false">IF('Project Status'!G30="","",'Project Status'!G30)</f>
        <v>Completed</v>
      </c>
      <c r="M30" s="47" t="n">
        <f aca="false">IF(OR(K30="",I30=""),"",IF(K30&gt;=I30,NETWORKDAYS(I30,K30,Holidays!$A$2:$A$40)-1,-(NETWORKDAYS(K30,I30,Holidays!$A$2:$A$40)-1)))</f>
        <v>7</v>
      </c>
      <c r="N30" s="50" t="str">
        <f aca="true">IF(AND($J30&lt;&gt;"",N$4&gt;=$J30,N$4&lt;=IF($K30="",TODAY(),$K30),N$67=0),"●","")</f>
        <v/>
      </c>
      <c r="O30" s="50" t="str">
        <f aca="true">IF(AND($J30&lt;&gt;"",O$4&gt;=$J30,O$4&lt;=IF($K30="",TODAY(),$K30),O$67=0),"●","")</f>
        <v/>
      </c>
      <c r="P30" s="50" t="str">
        <f aca="true">IF(AND($J30&lt;&gt;"",P$4&gt;=$J30,P$4&lt;=IF($K30="",TODAY(),$K30),P$67=0),"●","")</f>
        <v/>
      </c>
      <c r="Q30" s="50" t="str">
        <f aca="true">IF(AND($J30&lt;&gt;"",Q$4&gt;=$J30,Q$4&lt;=IF($K30="",TODAY(),$K30),Q$67=0),"●","")</f>
        <v/>
      </c>
      <c r="R30" s="50" t="str">
        <f aca="true">IF(AND($J30&lt;&gt;"",R$4&gt;=$J30,R$4&lt;=IF($K30="",TODAY(),$K30),R$67=0),"●","")</f>
        <v/>
      </c>
      <c r="S30" s="50" t="str">
        <f aca="true">IF(AND($J30&lt;&gt;"",S$4&gt;=$J30,S$4&lt;=IF($K30="",TODAY(),$K30),S$67=0),"●","")</f>
        <v/>
      </c>
      <c r="T30" s="50" t="str">
        <f aca="true">IF(AND($J30&lt;&gt;"",T$4&gt;=$J30,T$4&lt;=IF($K30="",TODAY(),$K30),T$67=0),"●","")</f>
        <v/>
      </c>
      <c r="U30" s="50" t="str">
        <f aca="true">IF(AND($J30&lt;&gt;"",U$4&gt;=$J30,U$4&lt;=IF($K30="",TODAY(),$K30),U$67=0),"●","")</f>
        <v/>
      </c>
      <c r="V30" s="50" t="str">
        <f aca="true">IF(AND($J30&lt;&gt;"",V$4&gt;=$J30,V$4&lt;=IF($K30="",TODAY(),$K30),V$67=0),"●","")</f>
        <v/>
      </c>
      <c r="W30" s="50" t="str">
        <f aca="true">IF(AND($J30&lt;&gt;"",W$4&gt;=$J30,W$4&lt;=IF($K30="",TODAY(),$K30),W$67=0),"●","")</f>
        <v/>
      </c>
      <c r="X30" s="50" t="str">
        <f aca="true">IF(AND($J30&lt;&gt;"",X$4&gt;=$J30,X$4&lt;=IF($K30="",TODAY(),$K30),X$67=0),"●","")</f>
        <v/>
      </c>
      <c r="Y30" s="50" t="str">
        <f aca="true">IF(AND($J30&lt;&gt;"",Y$4&gt;=$J30,Y$4&lt;=IF($K30="",TODAY(),$K30),Y$67=0),"●","")</f>
        <v/>
      </c>
      <c r="Z30" s="50" t="str">
        <f aca="true">IF(AND($J30&lt;&gt;"",Z$4&gt;=$J30,Z$4&lt;=IF($K30="",TODAY(),$K30),Z$67=0),"●","")</f>
        <v/>
      </c>
      <c r="AA30" s="50" t="str">
        <f aca="true">IF(AND($J30&lt;&gt;"",AA$4&gt;=$J30,AA$4&lt;=IF($K30="",TODAY(),$K30),AA$67=0),"●","")</f>
        <v/>
      </c>
      <c r="AB30" s="50" t="str">
        <f aca="true">IF(AND($J30&lt;&gt;"",AB$4&gt;=$J30,AB$4&lt;=IF($K30="",TODAY(),$K30),AB$67=0),"●","")</f>
        <v/>
      </c>
      <c r="AC30" s="50" t="str">
        <f aca="true">IF(AND($J30&lt;&gt;"",AC$4&gt;=$J30,AC$4&lt;=IF($K30="",TODAY(),$K30),AC$67=0),"●","")</f>
        <v/>
      </c>
      <c r="AD30" s="50" t="str">
        <f aca="true">IF(AND($J30&lt;&gt;"",AD$4&gt;=$J30,AD$4&lt;=IF($K30="",TODAY(),$K30),AD$67=0),"●","")</f>
        <v/>
      </c>
      <c r="AE30" s="50" t="str">
        <f aca="true">IF(AND($J30&lt;&gt;"",AE$4&gt;=$J30,AE$4&lt;=IF($K30="",TODAY(),$K30),AE$67=0),"●","")</f>
        <v/>
      </c>
      <c r="AF30" s="50" t="str">
        <f aca="true">IF(AND($J30&lt;&gt;"",AF$4&gt;=$J30,AF$4&lt;=IF($K30="",TODAY(),$K30),AF$67=0),"●","")</f>
        <v/>
      </c>
      <c r="AG30" s="50" t="str">
        <f aca="true">IF(AND($J30&lt;&gt;"",AG$4&gt;=$J30,AG$4&lt;=IF($K30="",TODAY(),$K30),AG$67=0),"●","")</f>
        <v/>
      </c>
      <c r="AH30" s="50" t="str">
        <f aca="true">IF(AND($J30&lt;&gt;"",AH$4&gt;=$J30,AH$4&lt;=IF($K30="",TODAY(),$K30),AH$67=0),"●","")</f>
        <v/>
      </c>
      <c r="AI30" s="50" t="str">
        <f aca="true">IF(AND($J30&lt;&gt;"",AI$4&gt;=$J30,AI$4&lt;=IF($K30="",TODAY(),$K30),AI$67=0),"●","")</f>
        <v/>
      </c>
      <c r="AJ30" s="50" t="str">
        <f aca="true">IF(AND($J30&lt;&gt;"",AJ$4&gt;=$J30,AJ$4&lt;=IF($K30="",TODAY(),$K30),AJ$67=0),"●","")</f>
        <v/>
      </c>
      <c r="AK30" s="50" t="str">
        <f aca="true">IF(AND($J30&lt;&gt;"",AK$4&gt;=$J30,AK$4&lt;=IF($K30="",TODAY(),$K30),AK$67=0),"●","")</f>
        <v/>
      </c>
      <c r="AL30" s="50" t="str">
        <f aca="true">IF(AND($J30&lt;&gt;"",AL$4&gt;=$J30,AL$4&lt;=IF($K30="",TODAY(),$K30),AL$67=0),"●","")</f>
        <v/>
      </c>
      <c r="AM30" s="50" t="str">
        <f aca="true">IF(AND($J30&lt;&gt;"",AM$4&gt;=$J30,AM$4&lt;=IF($K30="",TODAY(),$K30),AM$67=0),"●","")</f>
        <v/>
      </c>
      <c r="AN30" s="50" t="str">
        <f aca="true">IF(AND($J30&lt;&gt;"",AN$4&gt;=$J30,AN$4&lt;=IF($K30="",TODAY(),$K30),AN$67=0),"●","")</f>
        <v/>
      </c>
      <c r="AO30" s="50" t="str">
        <f aca="true">IF(AND($J30&lt;&gt;"",AO$4&gt;=$J30,AO$4&lt;=IF($K30="",TODAY(),$K30),AO$67=0),"●","")</f>
        <v/>
      </c>
      <c r="AP30" s="50" t="str">
        <f aca="true">IF(AND($J30&lt;&gt;"",AP$4&gt;=$J30,AP$4&lt;=IF($K30="",TODAY(),$K30),AP$67=0),"●","")</f>
        <v/>
      </c>
      <c r="AQ30" s="50" t="str">
        <f aca="true">IF(AND($J30&lt;&gt;"",AQ$4&gt;=$J30,AQ$4&lt;=IF($K30="",TODAY(),$K30),AQ$67=0),"●","")</f>
        <v/>
      </c>
      <c r="AR30" s="50" t="str">
        <f aca="true">IF(AND($J30&lt;&gt;"",AR$4&gt;=$J30,AR$4&lt;=IF($K30="",TODAY(),$K30),AR$67=0),"●","")</f>
        <v/>
      </c>
      <c r="AS30" s="50" t="str">
        <f aca="true">IF(AND($J30&lt;&gt;"",AS$4&gt;=$J30,AS$4&lt;=IF($K30="",TODAY(),$K30),AS$67=0),"●","")</f>
        <v/>
      </c>
      <c r="AT30" s="50" t="str">
        <f aca="true">IF(AND($J30&lt;&gt;"",AT$4&gt;=$J30,AT$4&lt;=IF($K30="",TODAY(),$K30),AT$67=0),"●","")</f>
        <v/>
      </c>
      <c r="AU30" s="50" t="str">
        <f aca="true">IF(AND($J30&lt;&gt;"",AU$4&gt;=$J30,AU$4&lt;=IF($K30="",TODAY(),$K30),AU$67=0),"●","")</f>
        <v/>
      </c>
      <c r="AV30" s="50" t="str">
        <f aca="true">IF(AND($J30&lt;&gt;"",AV$4&gt;=$J30,AV$4&lt;=IF($K30="",TODAY(),$K30),AV$67=0),"●","")</f>
        <v/>
      </c>
      <c r="AW30" s="50" t="str">
        <f aca="true">IF(AND($J30&lt;&gt;"",AW$4&gt;=$J30,AW$4&lt;=IF($K30="",TODAY(),$K30),AW$67=0),"●","")</f>
        <v/>
      </c>
      <c r="AX30" s="51" t="s">
        <v>235</v>
      </c>
    </row>
    <row r="31" customFormat="false" ht="15" hidden="false" customHeight="false" outlineLevel="0" collapsed="false">
      <c r="A31" s="47" t="s">
        <v>236</v>
      </c>
      <c r="B31" s="47" t="s">
        <v>219</v>
      </c>
      <c r="C31" s="47" t="s">
        <v>237</v>
      </c>
      <c r="D31" s="57" t="s">
        <v>59</v>
      </c>
      <c r="E31" s="47" t="n">
        <v>1</v>
      </c>
      <c r="F31" s="47" t="n">
        <v>1</v>
      </c>
      <c r="G31" s="47" t="s">
        <v>200</v>
      </c>
      <c r="H31" s="49" t="n">
        <v>46308</v>
      </c>
      <c r="I31" s="49" t="n">
        <v>46308</v>
      </c>
      <c r="J31" s="49" t="n">
        <f aca="false">IF('Project Status'!E31="","",'Project Status'!E31)</f>
        <v>46319</v>
      </c>
      <c r="K31" s="49" t="n">
        <f aca="false">IF('Project Status'!F31="","",'Project Status'!F31)</f>
        <v>46321</v>
      </c>
      <c r="L31" s="47" t="str">
        <f aca="false">IF('Project Status'!G31="","",'Project Status'!G31)</f>
        <v>Completed</v>
      </c>
      <c r="M31" s="47" t="n">
        <f aca="false">IF(OR(K31="",I31=""),"",IF(K31&gt;=I31,NETWORKDAYS(I31,K31,Holidays!$A$2:$A$40)-1,-(NETWORKDAYS(K31,I31,Holidays!$A$2:$A$40)-1)))</f>
        <v>9</v>
      </c>
      <c r="N31" s="50" t="str">
        <f aca="true">IF(AND($J31&lt;&gt;"",N$4&gt;=$J31,N$4&lt;=IF($K31="",TODAY(),$K31),N$67=0),"●","")</f>
        <v/>
      </c>
      <c r="O31" s="50" t="str">
        <f aca="true">IF(AND($J31&lt;&gt;"",O$4&gt;=$J31,O$4&lt;=IF($K31="",TODAY(),$K31),O$67=0),"●","")</f>
        <v/>
      </c>
      <c r="P31" s="50" t="str">
        <f aca="true">IF(AND($J31&lt;&gt;"",P$4&gt;=$J31,P$4&lt;=IF($K31="",TODAY(),$K31),P$67=0),"●","")</f>
        <v/>
      </c>
      <c r="Q31" s="50" t="str">
        <f aca="true">IF(AND($J31&lt;&gt;"",Q$4&gt;=$J31,Q$4&lt;=IF($K31="",TODAY(),$K31),Q$67=0),"●","")</f>
        <v/>
      </c>
      <c r="R31" s="50" t="str">
        <f aca="true">IF(AND($J31&lt;&gt;"",R$4&gt;=$J31,R$4&lt;=IF($K31="",TODAY(),$K31),R$67=0),"●","")</f>
        <v/>
      </c>
      <c r="S31" s="50" t="str">
        <f aca="true">IF(AND($J31&lt;&gt;"",S$4&gt;=$J31,S$4&lt;=IF($K31="",TODAY(),$K31),S$67=0),"●","")</f>
        <v/>
      </c>
      <c r="T31" s="50" t="str">
        <f aca="true">IF(AND($J31&lt;&gt;"",T$4&gt;=$J31,T$4&lt;=IF($K31="",TODAY(),$K31),T$67=0),"●","")</f>
        <v/>
      </c>
      <c r="U31" s="50" t="str">
        <f aca="true">IF(AND($J31&lt;&gt;"",U$4&gt;=$J31,U$4&lt;=IF($K31="",TODAY(),$K31),U$67=0),"●","")</f>
        <v/>
      </c>
      <c r="V31" s="50" t="str">
        <f aca="true">IF(AND($J31&lt;&gt;"",V$4&gt;=$J31,V$4&lt;=IF($K31="",TODAY(),$K31),V$67=0),"●","")</f>
        <v/>
      </c>
      <c r="W31" s="50" t="str">
        <f aca="true">IF(AND($J31&lt;&gt;"",W$4&gt;=$J31,W$4&lt;=IF($K31="",TODAY(),$K31),W$67=0),"●","")</f>
        <v/>
      </c>
      <c r="X31" s="50" t="str">
        <f aca="true">IF(AND($J31&lt;&gt;"",X$4&gt;=$J31,X$4&lt;=IF($K31="",TODAY(),$K31),X$67=0),"●","")</f>
        <v/>
      </c>
      <c r="Y31" s="50" t="str">
        <f aca="true">IF(AND($J31&lt;&gt;"",Y$4&gt;=$J31,Y$4&lt;=IF($K31="",TODAY(),$K31),Y$67=0),"●","")</f>
        <v/>
      </c>
      <c r="Z31" s="50" t="str">
        <f aca="true">IF(AND($J31&lt;&gt;"",Z$4&gt;=$J31,Z$4&lt;=IF($K31="",TODAY(),$K31),Z$67=0),"●","")</f>
        <v/>
      </c>
      <c r="AA31" s="50" t="str">
        <f aca="true">IF(AND($J31&lt;&gt;"",AA$4&gt;=$J31,AA$4&lt;=IF($K31="",TODAY(),$K31),AA$67=0),"●","")</f>
        <v/>
      </c>
      <c r="AB31" s="50" t="str">
        <f aca="true">IF(AND($J31&lt;&gt;"",AB$4&gt;=$J31,AB$4&lt;=IF($K31="",TODAY(),$K31),AB$67=0),"●","")</f>
        <v/>
      </c>
      <c r="AC31" s="50" t="str">
        <f aca="true">IF(AND($J31&lt;&gt;"",AC$4&gt;=$J31,AC$4&lt;=IF($K31="",TODAY(),$K31),AC$67=0),"●","")</f>
        <v/>
      </c>
      <c r="AD31" s="50" t="str">
        <f aca="true">IF(AND($J31&lt;&gt;"",AD$4&gt;=$J31,AD$4&lt;=IF($K31="",TODAY(),$K31),AD$67=0),"●","")</f>
        <v/>
      </c>
      <c r="AE31" s="50" t="str">
        <f aca="true">IF(AND($J31&lt;&gt;"",AE$4&gt;=$J31,AE$4&lt;=IF($K31="",TODAY(),$K31),AE$67=0),"●","")</f>
        <v/>
      </c>
      <c r="AF31" s="50" t="str">
        <f aca="true">IF(AND($J31&lt;&gt;"",AF$4&gt;=$J31,AF$4&lt;=IF($K31="",TODAY(),$K31),AF$67=0),"●","")</f>
        <v/>
      </c>
      <c r="AG31" s="50" t="str">
        <f aca="true">IF(AND($J31&lt;&gt;"",AG$4&gt;=$J31,AG$4&lt;=IF($K31="",TODAY(),$K31),AG$67=0),"●","")</f>
        <v/>
      </c>
      <c r="AH31" s="50" t="str">
        <f aca="true">IF(AND($J31&lt;&gt;"",AH$4&gt;=$J31,AH$4&lt;=IF($K31="",TODAY(),$K31),AH$67=0),"●","")</f>
        <v/>
      </c>
      <c r="AI31" s="50" t="str">
        <f aca="true">IF(AND($J31&lt;&gt;"",AI$4&gt;=$J31,AI$4&lt;=IF($K31="",TODAY(),$K31),AI$67=0),"●","")</f>
        <v/>
      </c>
      <c r="AJ31" s="50" t="str">
        <f aca="true">IF(AND($J31&lt;&gt;"",AJ$4&gt;=$J31,AJ$4&lt;=IF($K31="",TODAY(),$K31),AJ$67=0),"●","")</f>
        <v/>
      </c>
      <c r="AK31" s="50" t="str">
        <f aca="true">IF(AND($J31&lt;&gt;"",AK$4&gt;=$J31,AK$4&lt;=IF($K31="",TODAY(),$K31),AK$67=0),"●","")</f>
        <v/>
      </c>
      <c r="AL31" s="50" t="str">
        <f aca="true">IF(AND($J31&lt;&gt;"",AL$4&gt;=$J31,AL$4&lt;=IF($K31="",TODAY(),$K31),AL$67=0),"●","")</f>
        <v/>
      </c>
      <c r="AM31" s="50" t="str">
        <f aca="true">IF(AND($J31&lt;&gt;"",AM$4&gt;=$J31,AM$4&lt;=IF($K31="",TODAY(),$K31),AM$67=0),"●","")</f>
        <v/>
      </c>
      <c r="AN31" s="50" t="str">
        <f aca="true">IF(AND($J31&lt;&gt;"",AN$4&gt;=$J31,AN$4&lt;=IF($K31="",TODAY(),$K31),AN$67=0),"●","")</f>
        <v/>
      </c>
      <c r="AO31" s="50" t="str">
        <f aca="true">IF(AND($J31&lt;&gt;"",AO$4&gt;=$J31,AO$4&lt;=IF($K31="",TODAY(),$K31),AO$67=0),"●","")</f>
        <v>●</v>
      </c>
      <c r="AP31" s="50" t="str">
        <f aca="true">IF(AND($J31&lt;&gt;"",AP$4&gt;=$J31,AP$4&lt;=IF($K31="",TODAY(),$K31),AP$67=0),"●","")</f>
        <v/>
      </c>
      <c r="AQ31" s="50" t="str">
        <f aca="true">IF(AND($J31&lt;&gt;"",AQ$4&gt;=$J31,AQ$4&lt;=IF($K31="",TODAY(),$K31),AQ$67=0),"●","")</f>
        <v/>
      </c>
      <c r="AR31" s="50" t="str">
        <f aca="true">IF(AND($J31&lt;&gt;"",AR$4&gt;=$J31,AR$4&lt;=IF($K31="",TODAY(),$K31),AR$67=0),"●","")</f>
        <v/>
      </c>
      <c r="AS31" s="50" t="str">
        <f aca="true">IF(AND($J31&lt;&gt;"",AS$4&gt;=$J31,AS$4&lt;=IF($K31="",TODAY(),$K31),AS$67=0),"●","")</f>
        <v/>
      </c>
      <c r="AT31" s="50" t="str">
        <f aca="true">IF(AND($J31&lt;&gt;"",AT$4&gt;=$J31,AT$4&lt;=IF($K31="",TODAY(),$K31),AT$67=0),"●","")</f>
        <v/>
      </c>
      <c r="AU31" s="50" t="str">
        <f aca="true">IF(AND($J31&lt;&gt;"",AU$4&gt;=$J31,AU$4&lt;=IF($K31="",TODAY(),$K31),AU$67=0),"●","")</f>
        <v/>
      </c>
      <c r="AV31" s="50" t="str">
        <f aca="true">IF(AND($J31&lt;&gt;"",AV$4&gt;=$J31,AV$4&lt;=IF($K31="",TODAY(),$K31),AV$67=0),"●","")</f>
        <v/>
      </c>
      <c r="AW31" s="50" t="str">
        <f aca="true">IF(AND($J31&lt;&gt;"",AW$4&gt;=$J31,AW$4&lt;=IF($K31="",TODAY(),$K31),AW$67=0),"●","")</f>
        <v/>
      </c>
      <c r="AX31" s="51" t="s">
        <v>238</v>
      </c>
    </row>
    <row r="32" customFormat="false" ht="15" hidden="false" customHeight="false" outlineLevel="0" collapsed="false">
      <c r="A32" s="47" t="s">
        <v>239</v>
      </c>
      <c r="B32" s="47" t="s">
        <v>219</v>
      </c>
      <c r="C32" s="47" t="s">
        <v>240</v>
      </c>
      <c r="D32" s="48" t="s">
        <v>33</v>
      </c>
      <c r="E32" s="47" t="n">
        <v>1</v>
      </c>
      <c r="F32" s="47" t="n">
        <v>1</v>
      </c>
      <c r="G32" s="47" t="s">
        <v>241</v>
      </c>
      <c r="H32" s="49" t="n">
        <v>46314</v>
      </c>
      <c r="I32" s="49" t="n">
        <v>46314</v>
      </c>
      <c r="J32" s="49" t="n">
        <f aca="false">IF('Project Status'!E32="","",'Project Status'!E32)</f>
        <v>46319</v>
      </c>
      <c r="K32" s="49" t="n">
        <f aca="false">IF('Project Status'!F32="","",'Project Status'!F32)</f>
        <v>46321</v>
      </c>
      <c r="L32" s="47" t="str">
        <f aca="false">IF('Project Status'!G32="","",'Project Status'!G32)</f>
        <v>Completed</v>
      </c>
      <c r="M32" s="47" t="n">
        <f aca="false">IF(OR(K32="",I32=""),"",IF(K32&gt;=I32,NETWORKDAYS(I32,K32,Holidays!$A$2:$A$40)-1,-(NETWORKDAYS(K32,I32,Holidays!$A$2:$A$40)-1)))</f>
        <v>5</v>
      </c>
      <c r="N32" s="50" t="str">
        <f aca="true">IF(AND($J32&lt;&gt;"",N$4&gt;=$J32,N$4&lt;=IF($K32="",TODAY(),$K32),N$67=0),"●","")</f>
        <v/>
      </c>
      <c r="O32" s="50" t="str">
        <f aca="true">IF(AND($J32&lt;&gt;"",O$4&gt;=$J32,O$4&lt;=IF($K32="",TODAY(),$K32),O$67=0),"●","")</f>
        <v/>
      </c>
      <c r="P32" s="50" t="str">
        <f aca="true">IF(AND($J32&lt;&gt;"",P$4&gt;=$J32,P$4&lt;=IF($K32="",TODAY(),$K32),P$67=0),"●","")</f>
        <v/>
      </c>
      <c r="Q32" s="50" t="str">
        <f aca="true">IF(AND($J32&lt;&gt;"",Q$4&gt;=$J32,Q$4&lt;=IF($K32="",TODAY(),$K32),Q$67=0),"●","")</f>
        <v/>
      </c>
      <c r="R32" s="50" t="str">
        <f aca="true">IF(AND($J32&lt;&gt;"",R$4&gt;=$J32,R$4&lt;=IF($K32="",TODAY(),$K32),R$67=0),"●","")</f>
        <v/>
      </c>
      <c r="S32" s="50" t="str">
        <f aca="true">IF(AND($J32&lt;&gt;"",S$4&gt;=$J32,S$4&lt;=IF($K32="",TODAY(),$K32),S$67=0),"●","")</f>
        <v/>
      </c>
      <c r="T32" s="50" t="str">
        <f aca="true">IF(AND($J32&lt;&gt;"",T$4&gt;=$J32,T$4&lt;=IF($K32="",TODAY(),$K32),T$67=0),"●","")</f>
        <v/>
      </c>
      <c r="U32" s="50" t="str">
        <f aca="true">IF(AND($J32&lt;&gt;"",U$4&gt;=$J32,U$4&lt;=IF($K32="",TODAY(),$K32),U$67=0),"●","")</f>
        <v/>
      </c>
      <c r="V32" s="50" t="str">
        <f aca="true">IF(AND($J32&lt;&gt;"",V$4&gt;=$J32,V$4&lt;=IF($K32="",TODAY(),$K32),V$67=0),"●","")</f>
        <v/>
      </c>
      <c r="W32" s="50" t="str">
        <f aca="true">IF(AND($J32&lt;&gt;"",W$4&gt;=$J32,W$4&lt;=IF($K32="",TODAY(),$K32),W$67=0),"●","")</f>
        <v/>
      </c>
      <c r="X32" s="50" t="str">
        <f aca="true">IF(AND($J32&lt;&gt;"",X$4&gt;=$J32,X$4&lt;=IF($K32="",TODAY(),$K32),X$67=0),"●","")</f>
        <v/>
      </c>
      <c r="Y32" s="50" t="str">
        <f aca="true">IF(AND($J32&lt;&gt;"",Y$4&gt;=$J32,Y$4&lt;=IF($K32="",TODAY(),$K32),Y$67=0),"●","")</f>
        <v/>
      </c>
      <c r="Z32" s="50" t="str">
        <f aca="true">IF(AND($J32&lt;&gt;"",Z$4&gt;=$J32,Z$4&lt;=IF($K32="",TODAY(),$K32),Z$67=0),"●","")</f>
        <v/>
      </c>
      <c r="AA32" s="50" t="str">
        <f aca="true">IF(AND($J32&lt;&gt;"",AA$4&gt;=$J32,AA$4&lt;=IF($K32="",TODAY(),$K32),AA$67=0),"●","")</f>
        <v/>
      </c>
      <c r="AB32" s="50" t="str">
        <f aca="true">IF(AND($J32&lt;&gt;"",AB$4&gt;=$J32,AB$4&lt;=IF($K32="",TODAY(),$K32),AB$67=0),"●","")</f>
        <v/>
      </c>
      <c r="AC32" s="50" t="str">
        <f aca="true">IF(AND($J32&lt;&gt;"",AC$4&gt;=$J32,AC$4&lt;=IF($K32="",TODAY(),$K32),AC$67=0),"●","")</f>
        <v/>
      </c>
      <c r="AD32" s="50" t="str">
        <f aca="true">IF(AND($J32&lt;&gt;"",AD$4&gt;=$J32,AD$4&lt;=IF($K32="",TODAY(),$K32),AD$67=0),"●","")</f>
        <v/>
      </c>
      <c r="AE32" s="50" t="str">
        <f aca="true">IF(AND($J32&lt;&gt;"",AE$4&gt;=$J32,AE$4&lt;=IF($K32="",TODAY(),$K32),AE$67=0),"●","")</f>
        <v/>
      </c>
      <c r="AF32" s="50" t="str">
        <f aca="true">IF(AND($J32&lt;&gt;"",AF$4&gt;=$J32,AF$4&lt;=IF($K32="",TODAY(),$K32),AF$67=0),"●","")</f>
        <v/>
      </c>
      <c r="AG32" s="50" t="str">
        <f aca="true">IF(AND($J32&lt;&gt;"",AG$4&gt;=$J32,AG$4&lt;=IF($K32="",TODAY(),$K32),AG$67=0),"●","")</f>
        <v/>
      </c>
      <c r="AH32" s="50" t="str">
        <f aca="true">IF(AND($J32&lt;&gt;"",AH$4&gt;=$J32,AH$4&lt;=IF($K32="",TODAY(),$K32),AH$67=0),"●","")</f>
        <v/>
      </c>
      <c r="AI32" s="50" t="str">
        <f aca="true">IF(AND($J32&lt;&gt;"",AI$4&gt;=$J32,AI$4&lt;=IF($K32="",TODAY(),$K32),AI$67=0),"●","")</f>
        <v/>
      </c>
      <c r="AJ32" s="50" t="str">
        <f aca="true">IF(AND($J32&lt;&gt;"",AJ$4&gt;=$J32,AJ$4&lt;=IF($K32="",TODAY(),$K32),AJ$67=0),"●","")</f>
        <v/>
      </c>
      <c r="AK32" s="50" t="str">
        <f aca="true">IF(AND($J32&lt;&gt;"",AK$4&gt;=$J32,AK$4&lt;=IF($K32="",TODAY(),$K32),AK$67=0),"●","")</f>
        <v/>
      </c>
      <c r="AL32" s="50" t="str">
        <f aca="true">IF(AND($J32&lt;&gt;"",AL$4&gt;=$J32,AL$4&lt;=IF($K32="",TODAY(),$K32),AL$67=0),"●","")</f>
        <v/>
      </c>
      <c r="AM32" s="50" t="str">
        <f aca="true">IF(AND($J32&lt;&gt;"",AM$4&gt;=$J32,AM$4&lt;=IF($K32="",TODAY(),$K32),AM$67=0),"●","")</f>
        <v/>
      </c>
      <c r="AN32" s="50" t="str">
        <f aca="true">IF(AND($J32&lt;&gt;"",AN$4&gt;=$J32,AN$4&lt;=IF($K32="",TODAY(),$K32),AN$67=0),"●","")</f>
        <v/>
      </c>
      <c r="AO32" s="50" t="str">
        <f aca="true">IF(AND($J32&lt;&gt;"",AO$4&gt;=$J32,AO$4&lt;=IF($K32="",TODAY(),$K32),AO$67=0),"●","")</f>
        <v>●</v>
      </c>
      <c r="AP32" s="50" t="str">
        <f aca="true">IF(AND($J32&lt;&gt;"",AP$4&gt;=$J32,AP$4&lt;=IF($K32="",TODAY(),$K32),AP$67=0),"●","")</f>
        <v/>
      </c>
      <c r="AQ32" s="50" t="str">
        <f aca="true">IF(AND($J32&lt;&gt;"",AQ$4&gt;=$J32,AQ$4&lt;=IF($K32="",TODAY(),$K32),AQ$67=0),"●","")</f>
        <v/>
      </c>
      <c r="AR32" s="50" t="str">
        <f aca="true">IF(AND($J32&lt;&gt;"",AR$4&gt;=$J32,AR$4&lt;=IF($K32="",TODAY(),$K32),AR$67=0),"●","")</f>
        <v/>
      </c>
      <c r="AS32" s="50" t="str">
        <f aca="true">IF(AND($J32&lt;&gt;"",AS$4&gt;=$J32,AS$4&lt;=IF($K32="",TODAY(),$K32),AS$67=0),"●","")</f>
        <v/>
      </c>
      <c r="AT32" s="50" t="str">
        <f aca="true">IF(AND($J32&lt;&gt;"",AT$4&gt;=$J32,AT$4&lt;=IF($K32="",TODAY(),$K32),AT$67=0),"●","")</f>
        <v/>
      </c>
      <c r="AU32" s="50" t="str">
        <f aca="true">IF(AND($J32&lt;&gt;"",AU$4&gt;=$J32,AU$4&lt;=IF($K32="",TODAY(),$K32),AU$67=0),"●","")</f>
        <v/>
      </c>
      <c r="AV32" s="50" t="str">
        <f aca="true">IF(AND($J32&lt;&gt;"",AV$4&gt;=$J32,AV$4&lt;=IF($K32="",TODAY(),$K32),AV$67=0),"●","")</f>
        <v/>
      </c>
      <c r="AW32" s="50" t="str">
        <f aca="true">IF(AND($J32&lt;&gt;"",AW$4&gt;=$J32,AW$4&lt;=IF($K32="",TODAY(),$K32),AW$67=0),"●","")</f>
        <v/>
      </c>
      <c r="AX32" s="51" t="s">
        <v>242</v>
      </c>
    </row>
    <row r="33" customFormat="false" ht="15" hidden="false" customHeight="false" outlineLevel="0" collapsed="false">
      <c r="A33" s="47" t="s">
        <v>243</v>
      </c>
      <c r="B33" s="47" t="s">
        <v>219</v>
      </c>
      <c r="C33" s="47" t="s">
        <v>244</v>
      </c>
      <c r="D33" s="52" t="s">
        <v>37</v>
      </c>
      <c r="E33" s="47" t="n">
        <v>1</v>
      </c>
      <c r="F33" s="47" t="n">
        <v>1</v>
      </c>
      <c r="G33" s="47" t="s">
        <v>220</v>
      </c>
      <c r="H33" s="49" t="n">
        <v>46309</v>
      </c>
      <c r="I33" s="49" t="n">
        <v>46309</v>
      </c>
      <c r="J33" s="49" t="n">
        <f aca="false">IF('Project Status'!E33="","",'Project Status'!E33)</f>
        <v>46319</v>
      </c>
      <c r="K33" s="49" t="n">
        <f aca="false">IF('Project Status'!F33="","",'Project Status'!F33)</f>
        <v>46319</v>
      </c>
      <c r="L33" s="47" t="str">
        <f aca="false">IF('Project Status'!G33="","",'Project Status'!G33)</f>
        <v>Completed</v>
      </c>
      <c r="M33" s="47" t="n">
        <f aca="false">IF(OR(K33="",I33=""),"",IF(K33&gt;=I33,NETWORKDAYS(I33,K33,Holidays!$A$2:$A$40)-1,-(NETWORKDAYS(K33,I33,Holidays!$A$2:$A$40)-1)))</f>
        <v>7</v>
      </c>
      <c r="N33" s="50" t="str">
        <f aca="true">IF(AND($J33&lt;&gt;"",N$4&gt;=$J33,N$4&lt;=IF($K33="",TODAY(),$K33),N$67=0),"●","")</f>
        <v/>
      </c>
      <c r="O33" s="50" t="str">
        <f aca="true">IF(AND($J33&lt;&gt;"",O$4&gt;=$J33,O$4&lt;=IF($K33="",TODAY(),$K33),O$67=0),"●","")</f>
        <v/>
      </c>
      <c r="P33" s="50" t="str">
        <f aca="true">IF(AND($J33&lt;&gt;"",P$4&gt;=$J33,P$4&lt;=IF($K33="",TODAY(),$K33),P$67=0),"●","")</f>
        <v/>
      </c>
      <c r="Q33" s="50" t="str">
        <f aca="true">IF(AND($J33&lt;&gt;"",Q$4&gt;=$J33,Q$4&lt;=IF($K33="",TODAY(),$K33),Q$67=0),"●","")</f>
        <v/>
      </c>
      <c r="R33" s="50" t="str">
        <f aca="true">IF(AND($J33&lt;&gt;"",R$4&gt;=$J33,R$4&lt;=IF($K33="",TODAY(),$K33),R$67=0),"●","")</f>
        <v/>
      </c>
      <c r="S33" s="50" t="str">
        <f aca="true">IF(AND($J33&lt;&gt;"",S$4&gt;=$J33,S$4&lt;=IF($K33="",TODAY(),$K33),S$67=0),"●","")</f>
        <v/>
      </c>
      <c r="T33" s="50" t="str">
        <f aca="true">IF(AND($J33&lt;&gt;"",T$4&gt;=$J33,T$4&lt;=IF($K33="",TODAY(),$K33),T$67=0),"●","")</f>
        <v/>
      </c>
      <c r="U33" s="50" t="str">
        <f aca="true">IF(AND($J33&lt;&gt;"",U$4&gt;=$J33,U$4&lt;=IF($K33="",TODAY(),$K33),U$67=0),"●","")</f>
        <v/>
      </c>
      <c r="V33" s="50" t="str">
        <f aca="true">IF(AND($J33&lt;&gt;"",V$4&gt;=$J33,V$4&lt;=IF($K33="",TODAY(),$K33),V$67=0),"●","")</f>
        <v/>
      </c>
      <c r="W33" s="50" t="str">
        <f aca="true">IF(AND($J33&lt;&gt;"",W$4&gt;=$J33,W$4&lt;=IF($K33="",TODAY(),$K33),W$67=0),"●","")</f>
        <v/>
      </c>
      <c r="X33" s="50" t="str">
        <f aca="true">IF(AND($J33&lt;&gt;"",X$4&gt;=$J33,X$4&lt;=IF($K33="",TODAY(),$K33),X$67=0),"●","")</f>
        <v/>
      </c>
      <c r="Y33" s="50" t="str">
        <f aca="true">IF(AND($J33&lt;&gt;"",Y$4&gt;=$J33,Y$4&lt;=IF($K33="",TODAY(),$K33),Y$67=0),"●","")</f>
        <v/>
      </c>
      <c r="Z33" s="50" t="str">
        <f aca="true">IF(AND($J33&lt;&gt;"",Z$4&gt;=$J33,Z$4&lt;=IF($K33="",TODAY(),$K33),Z$67=0),"●","")</f>
        <v/>
      </c>
      <c r="AA33" s="50" t="str">
        <f aca="true">IF(AND($J33&lt;&gt;"",AA$4&gt;=$J33,AA$4&lt;=IF($K33="",TODAY(),$K33),AA$67=0),"●","")</f>
        <v/>
      </c>
      <c r="AB33" s="50" t="str">
        <f aca="true">IF(AND($J33&lt;&gt;"",AB$4&gt;=$J33,AB$4&lt;=IF($K33="",TODAY(),$K33),AB$67=0),"●","")</f>
        <v/>
      </c>
      <c r="AC33" s="50" t="str">
        <f aca="true">IF(AND($J33&lt;&gt;"",AC$4&gt;=$J33,AC$4&lt;=IF($K33="",TODAY(),$K33),AC$67=0),"●","")</f>
        <v/>
      </c>
      <c r="AD33" s="50" t="str">
        <f aca="true">IF(AND($J33&lt;&gt;"",AD$4&gt;=$J33,AD$4&lt;=IF($K33="",TODAY(),$K33),AD$67=0),"●","")</f>
        <v/>
      </c>
      <c r="AE33" s="50" t="str">
        <f aca="true">IF(AND($J33&lt;&gt;"",AE$4&gt;=$J33,AE$4&lt;=IF($K33="",TODAY(),$K33),AE$67=0),"●","")</f>
        <v/>
      </c>
      <c r="AF33" s="50" t="str">
        <f aca="true">IF(AND($J33&lt;&gt;"",AF$4&gt;=$J33,AF$4&lt;=IF($K33="",TODAY(),$K33),AF$67=0),"●","")</f>
        <v/>
      </c>
      <c r="AG33" s="50" t="str">
        <f aca="true">IF(AND($J33&lt;&gt;"",AG$4&gt;=$J33,AG$4&lt;=IF($K33="",TODAY(),$K33),AG$67=0),"●","")</f>
        <v/>
      </c>
      <c r="AH33" s="50" t="str">
        <f aca="true">IF(AND($J33&lt;&gt;"",AH$4&gt;=$J33,AH$4&lt;=IF($K33="",TODAY(),$K33),AH$67=0),"●","")</f>
        <v/>
      </c>
      <c r="AI33" s="50" t="str">
        <f aca="true">IF(AND($J33&lt;&gt;"",AI$4&gt;=$J33,AI$4&lt;=IF($K33="",TODAY(),$K33),AI$67=0),"●","")</f>
        <v/>
      </c>
      <c r="AJ33" s="50" t="str">
        <f aca="true">IF(AND($J33&lt;&gt;"",AJ$4&gt;=$J33,AJ$4&lt;=IF($K33="",TODAY(),$K33),AJ$67=0),"●","")</f>
        <v/>
      </c>
      <c r="AK33" s="50" t="str">
        <f aca="true">IF(AND($J33&lt;&gt;"",AK$4&gt;=$J33,AK$4&lt;=IF($K33="",TODAY(),$K33),AK$67=0),"●","")</f>
        <v/>
      </c>
      <c r="AL33" s="50" t="str">
        <f aca="true">IF(AND($J33&lt;&gt;"",AL$4&gt;=$J33,AL$4&lt;=IF($K33="",TODAY(),$K33),AL$67=0),"●","")</f>
        <v/>
      </c>
      <c r="AM33" s="50" t="str">
        <f aca="true">IF(AND($J33&lt;&gt;"",AM$4&gt;=$J33,AM$4&lt;=IF($K33="",TODAY(),$K33),AM$67=0),"●","")</f>
        <v/>
      </c>
      <c r="AN33" s="50" t="str">
        <f aca="true">IF(AND($J33&lt;&gt;"",AN$4&gt;=$J33,AN$4&lt;=IF($K33="",TODAY(),$K33),AN$67=0),"●","")</f>
        <v/>
      </c>
      <c r="AO33" s="50" t="str">
        <f aca="true">IF(AND($J33&lt;&gt;"",AO$4&gt;=$J33,AO$4&lt;=IF($K33="",TODAY(),$K33),AO$67=0),"●","")</f>
        <v/>
      </c>
      <c r="AP33" s="50" t="str">
        <f aca="true">IF(AND($J33&lt;&gt;"",AP$4&gt;=$J33,AP$4&lt;=IF($K33="",TODAY(),$K33),AP$67=0),"●","")</f>
        <v/>
      </c>
      <c r="AQ33" s="50" t="str">
        <f aca="true">IF(AND($J33&lt;&gt;"",AQ$4&gt;=$J33,AQ$4&lt;=IF($K33="",TODAY(),$K33),AQ$67=0),"●","")</f>
        <v/>
      </c>
      <c r="AR33" s="50" t="str">
        <f aca="true">IF(AND($J33&lt;&gt;"",AR$4&gt;=$J33,AR$4&lt;=IF($K33="",TODAY(),$K33),AR$67=0),"●","")</f>
        <v/>
      </c>
      <c r="AS33" s="50" t="str">
        <f aca="true">IF(AND($J33&lt;&gt;"",AS$4&gt;=$J33,AS$4&lt;=IF($K33="",TODAY(),$K33),AS$67=0),"●","")</f>
        <v/>
      </c>
      <c r="AT33" s="50" t="str">
        <f aca="true">IF(AND($J33&lt;&gt;"",AT$4&gt;=$J33,AT$4&lt;=IF($K33="",TODAY(),$K33),AT$67=0),"●","")</f>
        <v/>
      </c>
      <c r="AU33" s="50" t="str">
        <f aca="true">IF(AND($J33&lt;&gt;"",AU$4&gt;=$J33,AU$4&lt;=IF($K33="",TODAY(),$K33),AU$67=0),"●","")</f>
        <v/>
      </c>
      <c r="AV33" s="50" t="str">
        <f aca="true">IF(AND($J33&lt;&gt;"",AV$4&gt;=$J33,AV$4&lt;=IF($K33="",TODAY(),$K33),AV$67=0),"●","")</f>
        <v/>
      </c>
      <c r="AW33" s="50" t="str">
        <f aca="true">IF(AND($J33&lt;&gt;"",AW$4&gt;=$J33,AW$4&lt;=IF($K33="",TODAY(),$K33),AW$67=0),"●","")</f>
        <v/>
      </c>
      <c r="AX33" s="51" t="s">
        <v>245</v>
      </c>
    </row>
    <row r="34" customFormat="false" ht="15" hidden="false" customHeight="false" outlineLevel="0" collapsed="false">
      <c r="A34" s="30" t="s">
        <v>246</v>
      </c>
      <c r="B34" s="31" t="s">
        <v>246</v>
      </c>
      <c r="C34" s="31" t="s">
        <v>88</v>
      </c>
      <c r="D34" s="31"/>
      <c r="E34" s="31" t="n">
        <f aca="false">NETWORKDAYS(H34,I34,Holidays!$A$2:$A$40)</f>
        <v>9</v>
      </c>
      <c r="F34" s="31"/>
      <c r="G34" s="31"/>
      <c r="H34" s="59" t="n">
        <f aca="false">MIN(H35:H45)</f>
        <v>46309</v>
      </c>
      <c r="I34" s="59" t="n">
        <f aca="false">MAX(I35:I45)</f>
        <v>46321</v>
      </c>
      <c r="J34" s="31"/>
      <c r="K34" s="31"/>
      <c r="L34" s="31"/>
      <c r="M34" s="31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</row>
    <row r="35" customFormat="false" ht="15" hidden="false" customHeight="false" outlineLevel="0" collapsed="false">
      <c r="A35" s="47" t="s">
        <v>247</v>
      </c>
      <c r="B35" s="47" t="s">
        <v>246</v>
      </c>
      <c r="C35" s="47" t="s">
        <v>248</v>
      </c>
      <c r="D35" s="56" t="s">
        <v>56</v>
      </c>
      <c r="E35" s="47" t="n">
        <v>1</v>
      </c>
      <c r="F35" s="47" t="n">
        <v>1</v>
      </c>
      <c r="G35" s="47" t="s">
        <v>228</v>
      </c>
      <c r="H35" s="49" t="n">
        <v>46310</v>
      </c>
      <c r="I35" s="49" t="n">
        <v>46310</v>
      </c>
      <c r="J35" s="49" t="n">
        <f aca="false">IF('Project Status'!E35="","",'Project Status'!E35)</f>
        <v>46318</v>
      </c>
      <c r="K35" s="49" t="n">
        <f aca="false">IF('Project Status'!F35="","",'Project Status'!F35)</f>
        <v>46319</v>
      </c>
      <c r="L35" s="47" t="str">
        <f aca="false">IF('Project Status'!G35="","",'Project Status'!G35)</f>
        <v>Completed</v>
      </c>
      <c r="M35" s="47" t="n">
        <f aca="false">IF(OR(K35="",I35=""),"",IF(K35&gt;=I35,NETWORKDAYS(I35,K35,Holidays!$A$2:$A$40)-1,-(NETWORKDAYS(K35,I35,Holidays!$A$2:$A$40)-1)))</f>
        <v>6</v>
      </c>
      <c r="N35" s="50" t="str">
        <f aca="true">IF(AND($J35&lt;&gt;"",N$4&gt;=$J35,N$4&lt;=IF($K35="",TODAY(),$K35),N$67=0),"●","")</f>
        <v/>
      </c>
      <c r="O35" s="50" t="str">
        <f aca="true">IF(AND($J35&lt;&gt;"",O$4&gt;=$J35,O$4&lt;=IF($K35="",TODAY(),$K35),O$67=0),"●","")</f>
        <v/>
      </c>
      <c r="P35" s="50" t="str">
        <f aca="true">IF(AND($J35&lt;&gt;"",P$4&gt;=$J35,P$4&lt;=IF($K35="",TODAY(),$K35),P$67=0),"●","")</f>
        <v/>
      </c>
      <c r="Q35" s="50" t="str">
        <f aca="true">IF(AND($J35&lt;&gt;"",Q$4&gt;=$J35,Q$4&lt;=IF($K35="",TODAY(),$K35),Q$67=0),"●","")</f>
        <v/>
      </c>
      <c r="R35" s="50" t="str">
        <f aca="true">IF(AND($J35&lt;&gt;"",R$4&gt;=$J35,R$4&lt;=IF($K35="",TODAY(),$K35),R$67=0),"●","")</f>
        <v/>
      </c>
      <c r="S35" s="50" t="str">
        <f aca="true">IF(AND($J35&lt;&gt;"",S$4&gt;=$J35,S$4&lt;=IF($K35="",TODAY(),$K35),S$67=0),"●","")</f>
        <v/>
      </c>
      <c r="T35" s="50" t="str">
        <f aca="true">IF(AND($J35&lt;&gt;"",T$4&gt;=$J35,T$4&lt;=IF($K35="",TODAY(),$K35),T$67=0),"●","")</f>
        <v/>
      </c>
      <c r="U35" s="50" t="str">
        <f aca="true">IF(AND($J35&lt;&gt;"",U$4&gt;=$J35,U$4&lt;=IF($K35="",TODAY(),$K35),U$67=0),"●","")</f>
        <v/>
      </c>
      <c r="V35" s="50" t="str">
        <f aca="true">IF(AND($J35&lt;&gt;"",V$4&gt;=$J35,V$4&lt;=IF($K35="",TODAY(),$K35),V$67=0),"●","")</f>
        <v/>
      </c>
      <c r="W35" s="50" t="str">
        <f aca="true">IF(AND($J35&lt;&gt;"",W$4&gt;=$J35,W$4&lt;=IF($K35="",TODAY(),$K35),W$67=0),"●","")</f>
        <v/>
      </c>
      <c r="X35" s="50" t="str">
        <f aca="true">IF(AND($J35&lt;&gt;"",X$4&gt;=$J35,X$4&lt;=IF($K35="",TODAY(),$K35),X$67=0),"●","")</f>
        <v/>
      </c>
      <c r="Y35" s="50" t="str">
        <f aca="true">IF(AND($J35&lt;&gt;"",Y$4&gt;=$J35,Y$4&lt;=IF($K35="",TODAY(),$K35),Y$67=0),"●","")</f>
        <v/>
      </c>
      <c r="Z35" s="50" t="str">
        <f aca="true">IF(AND($J35&lt;&gt;"",Z$4&gt;=$J35,Z$4&lt;=IF($K35="",TODAY(),$K35),Z$67=0),"●","")</f>
        <v/>
      </c>
      <c r="AA35" s="50" t="str">
        <f aca="true">IF(AND($J35&lt;&gt;"",AA$4&gt;=$J35,AA$4&lt;=IF($K35="",TODAY(),$K35),AA$67=0),"●","")</f>
        <v/>
      </c>
      <c r="AB35" s="50" t="str">
        <f aca="true">IF(AND($J35&lt;&gt;"",AB$4&gt;=$J35,AB$4&lt;=IF($K35="",TODAY(),$K35),AB$67=0),"●","")</f>
        <v/>
      </c>
      <c r="AC35" s="50" t="str">
        <f aca="true">IF(AND($J35&lt;&gt;"",AC$4&gt;=$J35,AC$4&lt;=IF($K35="",TODAY(),$K35),AC$67=0),"●","")</f>
        <v/>
      </c>
      <c r="AD35" s="50" t="str">
        <f aca="true">IF(AND($J35&lt;&gt;"",AD$4&gt;=$J35,AD$4&lt;=IF($K35="",TODAY(),$K35),AD$67=0),"●","")</f>
        <v/>
      </c>
      <c r="AE35" s="50" t="str">
        <f aca="true">IF(AND($J35&lt;&gt;"",AE$4&gt;=$J35,AE$4&lt;=IF($K35="",TODAY(),$K35),AE$67=0),"●","")</f>
        <v/>
      </c>
      <c r="AF35" s="50" t="str">
        <f aca="true">IF(AND($J35&lt;&gt;"",AF$4&gt;=$J35,AF$4&lt;=IF($K35="",TODAY(),$K35),AF$67=0),"●","")</f>
        <v/>
      </c>
      <c r="AG35" s="50" t="str">
        <f aca="true">IF(AND($J35&lt;&gt;"",AG$4&gt;=$J35,AG$4&lt;=IF($K35="",TODAY(),$K35),AG$67=0),"●","")</f>
        <v/>
      </c>
      <c r="AH35" s="50" t="str">
        <f aca="true">IF(AND($J35&lt;&gt;"",AH$4&gt;=$J35,AH$4&lt;=IF($K35="",TODAY(),$K35),AH$67=0),"●","")</f>
        <v/>
      </c>
      <c r="AI35" s="50" t="str">
        <f aca="true">IF(AND($J35&lt;&gt;"",AI$4&gt;=$J35,AI$4&lt;=IF($K35="",TODAY(),$K35),AI$67=0),"●","")</f>
        <v/>
      </c>
      <c r="AJ35" s="50" t="str">
        <f aca="true">IF(AND($J35&lt;&gt;"",AJ$4&gt;=$J35,AJ$4&lt;=IF($K35="",TODAY(),$K35),AJ$67=0),"●","")</f>
        <v/>
      </c>
      <c r="AK35" s="50" t="str">
        <f aca="true">IF(AND($J35&lt;&gt;"",AK$4&gt;=$J35,AK$4&lt;=IF($K35="",TODAY(),$K35),AK$67=0),"●","")</f>
        <v/>
      </c>
      <c r="AL35" s="50" t="str">
        <f aca="true">IF(AND($J35&lt;&gt;"",AL$4&gt;=$J35,AL$4&lt;=IF($K35="",TODAY(),$K35),AL$67=0),"●","")</f>
        <v/>
      </c>
      <c r="AM35" s="50" t="str">
        <f aca="true">IF(AND($J35&lt;&gt;"",AM$4&gt;=$J35,AM$4&lt;=IF($K35="",TODAY(),$K35),AM$67=0),"●","")</f>
        <v/>
      </c>
      <c r="AN35" s="50" t="str">
        <f aca="true">IF(AND($J35&lt;&gt;"",AN$4&gt;=$J35,AN$4&lt;=IF($K35="",TODAY(),$K35),AN$67=0),"●","")</f>
        <v>●</v>
      </c>
      <c r="AO35" s="50" t="str">
        <f aca="true">IF(AND($J35&lt;&gt;"",AO$4&gt;=$J35,AO$4&lt;=IF($K35="",TODAY(),$K35),AO$67=0),"●","")</f>
        <v/>
      </c>
      <c r="AP35" s="50" t="str">
        <f aca="true">IF(AND($J35&lt;&gt;"",AP$4&gt;=$J35,AP$4&lt;=IF($K35="",TODAY(),$K35),AP$67=0),"●","")</f>
        <v/>
      </c>
      <c r="AQ35" s="50" t="str">
        <f aca="true">IF(AND($J35&lt;&gt;"",AQ$4&gt;=$J35,AQ$4&lt;=IF($K35="",TODAY(),$K35),AQ$67=0),"●","")</f>
        <v/>
      </c>
      <c r="AR35" s="50" t="str">
        <f aca="true">IF(AND($J35&lt;&gt;"",AR$4&gt;=$J35,AR$4&lt;=IF($K35="",TODAY(),$K35),AR$67=0),"●","")</f>
        <v/>
      </c>
      <c r="AS35" s="50" t="str">
        <f aca="true">IF(AND($J35&lt;&gt;"",AS$4&gt;=$J35,AS$4&lt;=IF($K35="",TODAY(),$K35),AS$67=0),"●","")</f>
        <v/>
      </c>
      <c r="AT35" s="50" t="str">
        <f aca="true">IF(AND($J35&lt;&gt;"",AT$4&gt;=$J35,AT$4&lt;=IF($K35="",TODAY(),$K35),AT$67=0),"●","")</f>
        <v/>
      </c>
      <c r="AU35" s="50" t="str">
        <f aca="true">IF(AND($J35&lt;&gt;"",AU$4&gt;=$J35,AU$4&lt;=IF($K35="",TODAY(),$K35),AU$67=0),"●","")</f>
        <v/>
      </c>
      <c r="AV35" s="50" t="str">
        <f aca="true">IF(AND($J35&lt;&gt;"",AV$4&gt;=$J35,AV$4&lt;=IF($K35="",TODAY(),$K35),AV$67=0),"●","")</f>
        <v/>
      </c>
      <c r="AW35" s="50" t="str">
        <f aca="true">IF(AND($J35&lt;&gt;"",AW$4&gt;=$J35,AW$4&lt;=IF($K35="",TODAY(),$K35),AW$67=0),"●","")</f>
        <v/>
      </c>
      <c r="AX35" s="51" t="s">
        <v>249</v>
      </c>
    </row>
    <row r="36" customFormat="false" ht="15" hidden="false" customHeight="false" outlineLevel="0" collapsed="false">
      <c r="A36" s="47" t="s">
        <v>250</v>
      </c>
      <c r="B36" s="47" t="s">
        <v>246</v>
      </c>
      <c r="C36" s="47" t="s">
        <v>251</v>
      </c>
      <c r="D36" s="56" t="s">
        <v>56</v>
      </c>
      <c r="E36" s="47" t="n">
        <v>2</v>
      </c>
      <c r="F36" s="47" t="n">
        <v>2</v>
      </c>
      <c r="G36" s="47" t="s">
        <v>247</v>
      </c>
      <c r="H36" s="49" t="n">
        <v>46311</v>
      </c>
      <c r="I36" s="49" t="n">
        <v>46314</v>
      </c>
      <c r="J36" s="49" t="n">
        <f aca="false">IF('Project Status'!E36="","",'Project Status'!E36)</f>
        <v>46319</v>
      </c>
      <c r="K36" s="49" t="n">
        <f aca="false">IF('Project Status'!F36="","",'Project Status'!F36)</f>
        <v>46319</v>
      </c>
      <c r="L36" s="47" t="str">
        <f aca="false">IF('Project Status'!G36="","",'Project Status'!G36)</f>
        <v>Completed</v>
      </c>
      <c r="M36" s="47" t="n">
        <f aca="false">IF(OR(K36="",I36=""),"",IF(K36&gt;=I36,NETWORKDAYS(I36,K36,Holidays!$A$2:$A$40)-1,-(NETWORKDAYS(K36,I36,Holidays!$A$2:$A$40)-1)))</f>
        <v>4</v>
      </c>
      <c r="N36" s="50" t="str">
        <f aca="true">IF(AND($J36&lt;&gt;"",N$4&gt;=$J36,N$4&lt;=IF($K36="",TODAY(),$K36),N$67=0),"●","")</f>
        <v/>
      </c>
      <c r="O36" s="50" t="str">
        <f aca="true">IF(AND($J36&lt;&gt;"",O$4&gt;=$J36,O$4&lt;=IF($K36="",TODAY(),$K36),O$67=0),"●","")</f>
        <v/>
      </c>
      <c r="P36" s="50" t="str">
        <f aca="true">IF(AND($J36&lt;&gt;"",P$4&gt;=$J36,P$4&lt;=IF($K36="",TODAY(),$K36),P$67=0),"●","")</f>
        <v/>
      </c>
      <c r="Q36" s="50" t="str">
        <f aca="true">IF(AND($J36&lt;&gt;"",Q$4&gt;=$J36,Q$4&lt;=IF($K36="",TODAY(),$K36),Q$67=0),"●","")</f>
        <v/>
      </c>
      <c r="R36" s="50" t="str">
        <f aca="true">IF(AND($J36&lt;&gt;"",R$4&gt;=$J36,R$4&lt;=IF($K36="",TODAY(),$K36),R$67=0),"●","")</f>
        <v/>
      </c>
      <c r="S36" s="50" t="str">
        <f aca="true">IF(AND($J36&lt;&gt;"",S$4&gt;=$J36,S$4&lt;=IF($K36="",TODAY(),$K36),S$67=0),"●","")</f>
        <v/>
      </c>
      <c r="T36" s="50" t="str">
        <f aca="true">IF(AND($J36&lt;&gt;"",T$4&gt;=$J36,T$4&lt;=IF($K36="",TODAY(),$K36),T$67=0),"●","")</f>
        <v/>
      </c>
      <c r="U36" s="50" t="str">
        <f aca="true">IF(AND($J36&lt;&gt;"",U$4&gt;=$J36,U$4&lt;=IF($K36="",TODAY(),$K36),U$67=0),"●","")</f>
        <v/>
      </c>
      <c r="V36" s="50" t="str">
        <f aca="true">IF(AND($J36&lt;&gt;"",V$4&gt;=$J36,V$4&lt;=IF($K36="",TODAY(),$K36),V$67=0),"●","")</f>
        <v/>
      </c>
      <c r="W36" s="50" t="str">
        <f aca="true">IF(AND($J36&lt;&gt;"",W$4&gt;=$J36,W$4&lt;=IF($K36="",TODAY(),$K36),W$67=0),"●","")</f>
        <v/>
      </c>
      <c r="X36" s="50" t="str">
        <f aca="true">IF(AND($J36&lt;&gt;"",X$4&gt;=$J36,X$4&lt;=IF($K36="",TODAY(),$K36),X$67=0),"●","")</f>
        <v/>
      </c>
      <c r="Y36" s="50" t="str">
        <f aca="true">IF(AND($J36&lt;&gt;"",Y$4&gt;=$J36,Y$4&lt;=IF($K36="",TODAY(),$K36),Y$67=0),"●","")</f>
        <v/>
      </c>
      <c r="Z36" s="50" t="str">
        <f aca="true">IF(AND($J36&lt;&gt;"",Z$4&gt;=$J36,Z$4&lt;=IF($K36="",TODAY(),$K36),Z$67=0),"●","")</f>
        <v/>
      </c>
      <c r="AA36" s="50" t="str">
        <f aca="true">IF(AND($J36&lt;&gt;"",AA$4&gt;=$J36,AA$4&lt;=IF($K36="",TODAY(),$K36),AA$67=0),"●","")</f>
        <v/>
      </c>
      <c r="AB36" s="50" t="str">
        <f aca="true">IF(AND($J36&lt;&gt;"",AB$4&gt;=$J36,AB$4&lt;=IF($K36="",TODAY(),$K36),AB$67=0),"●","")</f>
        <v/>
      </c>
      <c r="AC36" s="50" t="str">
        <f aca="true">IF(AND($J36&lt;&gt;"",AC$4&gt;=$J36,AC$4&lt;=IF($K36="",TODAY(),$K36),AC$67=0),"●","")</f>
        <v/>
      </c>
      <c r="AD36" s="50" t="str">
        <f aca="true">IF(AND($J36&lt;&gt;"",AD$4&gt;=$J36,AD$4&lt;=IF($K36="",TODAY(),$K36),AD$67=0),"●","")</f>
        <v/>
      </c>
      <c r="AE36" s="50" t="str">
        <f aca="true">IF(AND($J36&lt;&gt;"",AE$4&gt;=$J36,AE$4&lt;=IF($K36="",TODAY(),$K36),AE$67=0),"●","")</f>
        <v/>
      </c>
      <c r="AF36" s="50" t="str">
        <f aca="true">IF(AND($J36&lt;&gt;"",AF$4&gt;=$J36,AF$4&lt;=IF($K36="",TODAY(),$K36),AF$67=0),"●","")</f>
        <v/>
      </c>
      <c r="AG36" s="50" t="str">
        <f aca="true">IF(AND($J36&lt;&gt;"",AG$4&gt;=$J36,AG$4&lt;=IF($K36="",TODAY(),$K36),AG$67=0),"●","")</f>
        <v/>
      </c>
      <c r="AH36" s="50" t="str">
        <f aca="true">IF(AND($J36&lt;&gt;"",AH$4&gt;=$J36,AH$4&lt;=IF($K36="",TODAY(),$K36),AH$67=0),"●","")</f>
        <v/>
      </c>
      <c r="AI36" s="50" t="str">
        <f aca="true">IF(AND($J36&lt;&gt;"",AI$4&gt;=$J36,AI$4&lt;=IF($K36="",TODAY(),$K36),AI$67=0),"●","")</f>
        <v/>
      </c>
      <c r="AJ36" s="50" t="str">
        <f aca="true">IF(AND($J36&lt;&gt;"",AJ$4&gt;=$J36,AJ$4&lt;=IF($K36="",TODAY(),$K36),AJ$67=0),"●","")</f>
        <v/>
      </c>
      <c r="AK36" s="50" t="str">
        <f aca="true">IF(AND($J36&lt;&gt;"",AK$4&gt;=$J36,AK$4&lt;=IF($K36="",TODAY(),$K36),AK$67=0),"●","")</f>
        <v/>
      </c>
      <c r="AL36" s="50" t="str">
        <f aca="true">IF(AND($J36&lt;&gt;"",AL$4&gt;=$J36,AL$4&lt;=IF($K36="",TODAY(),$K36),AL$67=0),"●","")</f>
        <v/>
      </c>
      <c r="AM36" s="50" t="str">
        <f aca="true">IF(AND($J36&lt;&gt;"",AM$4&gt;=$J36,AM$4&lt;=IF($K36="",TODAY(),$K36),AM$67=0),"●","")</f>
        <v/>
      </c>
      <c r="AN36" s="50" t="str">
        <f aca="true">IF(AND($J36&lt;&gt;"",AN$4&gt;=$J36,AN$4&lt;=IF($K36="",TODAY(),$K36),AN$67=0),"●","")</f>
        <v/>
      </c>
      <c r="AO36" s="50" t="str">
        <f aca="true">IF(AND($J36&lt;&gt;"",AO$4&gt;=$J36,AO$4&lt;=IF($K36="",TODAY(),$K36),AO$67=0),"●","")</f>
        <v/>
      </c>
      <c r="AP36" s="50" t="str">
        <f aca="true">IF(AND($J36&lt;&gt;"",AP$4&gt;=$J36,AP$4&lt;=IF($K36="",TODAY(),$K36),AP$67=0),"●","")</f>
        <v/>
      </c>
      <c r="AQ36" s="50" t="str">
        <f aca="true">IF(AND($J36&lt;&gt;"",AQ$4&gt;=$J36,AQ$4&lt;=IF($K36="",TODAY(),$K36),AQ$67=0),"●","")</f>
        <v/>
      </c>
      <c r="AR36" s="50" t="str">
        <f aca="true">IF(AND($J36&lt;&gt;"",AR$4&gt;=$J36,AR$4&lt;=IF($K36="",TODAY(),$K36),AR$67=0),"●","")</f>
        <v/>
      </c>
      <c r="AS36" s="50" t="str">
        <f aca="true">IF(AND($J36&lt;&gt;"",AS$4&gt;=$J36,AS$4&lt;=IF($K36="",TODAY(),$K36),AS$67=0),"●","")</f>
        <v/>
      </c>
      <c r="AT36" s="50" t="str">
        <f aca="true">IF(AND($J36&lt;&gt;"",AT$4&gt;=$J36,AT$4&lt;=IF($K36="",TODAY(),$K36),AT$67=0),"●","")</f>
        <v/>
      </c>
      <c r="AU36" s="50" t="str">
        <f aca="true">IF(AND($J36&lt;&gt;"",AU$4&gt;=$J36,AU$4&lt;=IF($K36="",TODAY(),$K36),AU$67=0),"●","")</f>
        <v/>
      </c>
      <c r="AV36" s="50" t="str">
        <f aca="true">IF(AND($J36&lt;&gt;"",AV$4&gt;=$J36,AV$4&lt;=IF($K36="",TODAY(),$K36),AV$67=0),"●","")</f>
        <v/>
      </c>
      <c r="AW36" s="50" t="str">
        <f aca="true">IF(AND($J36&lt;&gt;"",AW$4&gt;=$J36,AW$4&lt;=IF($K36="",TODAY(),$K36),AW$67=0),"●","")</f>
        <v/>
      </c>
      <c r="AX36" s="51" t="s">
        <v>252</v>
      </c>
    </row>
    <row r="37" customFormat="false" ht="15" hidden="false" customHeight="false" outlineLevel="0" collapsed="false">
      <c r="A37" s="47" t="s">
        <v>253</v>
      </c>
      <c r="B37" s="47" t="s">
        <v>246</v>
      </c>
      <c r="C37" s="47" t="s">
        <v>254</v>
      </c>
      <c r="D37" s="57" t="s">
        <v>59</v>
      </c>
      <c r="E37" s="47" t="n">
        <v>2</v>
      </c>
      <c r="F37" s="47" t="n">
        <v>2</v>
      </c>
      <c r="G37" s="47" t="s">
        <v>255</v>
      </c>
      <c r="H37" s="49" t="n">
        <v>46309</v>
      </c>
      <c r="I37" s="49" t="n">
        <v>46310</v>
      </c>
      <c r="J37" s="49" t="n">
        <f aca="false">IF('Project Status'!E37="","",'Project Status'!E37)</f>
        <v>46319</v>
      </c>
      <c r="K37" s="49" t="n">
        <f aca="false">IF('Project Status'!F37="","",'Project Status'!F37)</f>
        <v>46319</v>
      </c>
      <c r="L37" s="47" t="str">
        <f aca="false">IF('Project Status'!G37="","",'Project Status'!G37)</f>
        <v>Completed</v>
      </c>
      <c r="M37" s="47" t="n">
        <f aca="false">IF(OR(K37="",I37=""),"",IF(K37&gt;=I37,NETWORKDAYS(I37,K37,Holidays!$A$2:$A$40)-1,-(NETWORKDAYS(K37,I37,Holidays!$A$2:$A$40)-1)))</f>
        <v>6</v>
      </c>
      <c r="N37" s="50" t="str">
        <f aca="true">IF(AND($J37&lt;&gt;"",N$4&gt;=$J37,N$4&lt;=IF($K37="",TODAY(),$K37),N$67=0),"●","")</f>
        <v/>
      </c>
      <c r="O37" s="50" t="str">
        <f aca="true">IF(AND($J37&lt;&gt;"",O$4&gt;=$J37,O$4&lt;=IF($K37="",TODAY(),$K37),O$67=0),"●","")</f>
        <v/>
      </c>
      <c r="P37" s="50" t="str">
        <f aca="true">IF(AND($J37&lt;&gt;"",P$4&gt;=$J37,P$4&lt;=IF($K37="",TODAY(),$K37),P$67=0),"●","")</f>
        <v/>
      </c>
      <c r="Q37" s="50" t="str">
        <f aca="true">IF(AND($J37&lt;&gt;"",Q$4&gt;=$J37,Q$4&lt;=IF($K37="",TODAY(),$K37),Q$67=0),"●","")</f>
        <v/>
      </c>
      <c r="R37" s="50" t="str">
        <f aca="true">IF(AND($J37&lt;&gt;"",R$4&gt;=$J37,R$4&lt;=IF($K37="",TODAY(),$K37),R$67=0),"●","")</f>
        <v/>
      </c>
      <c r="S37" s="50" t="str">
        <f aca="true">IF(AND($J37&lt;&gt;"",S$4&gt;=$J37,S$4&lt;=IF($K37="",TODAY(),$K37),S$67=0),"●","")</f>
        <v/>
      </c>
      <c r="T37" s="50" t="str">
        <f aca="true">IF(AND($J37&lt;&gt;"",T$4&gt;=$J37,T$4&lt;=IF($K37="",TODAY(),$K37),T$67=0),"●","")</f>
        <v/>
      </c>
      <c r="U37" s="50" t="str">
        <f aca="true">IF(AND($J37&lt;&gt;"",U$4&gt;=$J37,U$4&lt;=IF($K37="",TODAY(),$K37),U$67=0),"●","")</f>
        <v/>
      </c>
      <c r="V37" s="50" t="str">
        <f aca="true">IF(AND($J37&lt;&gt;"",V$4&gt;=$J37,V$4&lt;=IF($K37="",TODAY(),$K37),V$67=0),"●","")</f>
        <v/>
      </c>
      <c r="W37" s="50" t="str">
        <f aca="true">IF(AND($J37&lt;&gt;"",W$4&gt;=$J37,W$4&lt;=IF($K37="",TODAY(),$K37),W$67=0),"●","")</f>
        <v/>
      </c>
      <c r="X37" s="50" t="str">
        <f aca="true">IF(AND($J37&lt;&gt;"",X$4&gt;=$J37,X$4&lt;=IF($K37="",TODAY(),$K37),X$67=0),"●","")</f>
        <v/>
      </c>
      <c r="Y37" s="50" t="str">
        <f aca="true">IF(AND($J37&lt;&gt;"",Y$4&gt;=$J37,Y$4&lt;=IF($K37="",TODAY(),$K37),Y$67=0),"●","")</f>
        <v/>
      </c>
      <c r="Z37" s="50" t="str">
        <f aca="true">IF(AND($J37&lt;&gt;"",Z$4&gt;=$J37,Z$4&lt;=IF($K37="",TODAY(),$K37),Z$67=0),"●","")</f>
        <v/>
      </c>
      <c r="AA37" s="50" t="str">
        <f aca="true">IF(AND($J37&lt;&gt;"",AA$4&gt;=$J37,AA$4&lt;=IF($K37="",TODAY(),$K37),AA$67=0),"●","")</f>
        <v/>
      </c>
      <c r="AB37" s="50" t="str">
        <f aca="true">IF(AND($J37&lt;&gt;"",AB$4&gt;=$J37,AB$4&lt;=IF($K37="",TODAY(),$K37),AB$67=0),"●","")</f>
        <v/>
      </c>
      <c r="AC37" s="50" t="str">
        <f aca="true">IF(AND($J37&lt;&gt;"",AC$4&gt;=$J37,AC$4&lt;=IF($K37="",TODAY(),$K37),AC$67=0),"●","")</f>
        <v/>
      </c>
      <c r="AD37" s="50" t="str">
        <f aca="true">IF(AND($J37&lt;&gt;"",AD$4&gt;=$J37,AD$4&lt;=IF($K37="",TODAY(),$K37),AD$67=0),"●","")</f>
        <v/>
      </c>
      <c r="AE37" s="50" t="str">
        <f aca="true">IF(AND($J37&lt;&gt;"",AE$4&gt;=$J37,AE$4&lt;=IF($K37="",TODAY(),$K37),AE$67=0),"●","")</f>
        <v/>
      </c>
      <c r="AF37" s="50" t="str">
        <f aca="true">IF(AND($J37&lt;&gt;"",AF$4&gt;=$J37,AF$4&lt;=IF($K37="",TODAY(),$K37),AF$67=0),"●","")</f>
        <v/>
      </c>
      <c r="AG37" s="50" t="str">
        <f aca="true">IF(AND($J37&lt;&gt;"",AG$4&gt;=$J37,AG$4&lt;=IF($K37="",TODAY(),$K37),AG$67=0),"●","")</f>
        <v/>
      </c>
      <c r="AH37" s="50" t="str">
        <f aca="true">IF(AND($J37&lt;&gt;"",AH$4&gt;=$J37,AH$4&lt;=IF($K37="",TODAY(),$K37),AH$67=0),"●","")</f>
        <v/>
      </c>
      <c r="AI37" s="50" t="str">
        <f aca="true">IF(AND($J37&lt;&gt;"",AI$4&gt;=$J37,AI$4&lt;=IF($K37="",TODAY(),$K37),AI$67=0),"●","")</f>
        <v/>
      </c>
      <c r="AJ37" s="50" t="str">
        <f aca="true">IF(AND($J37&lt;&gt;"",AJ$4&gt;=$J37,AJ$4&lt;=IF($K37="",TODAY(),$K37),AJ$67=0),"●","")</f>
        <v/>
      </c>
      <c r="AK37" s="50" t="str">
        <f aca="true">IF(AND($J37&lt;&gt;"",AK$4&gt;=$J37,AK$4&lt;=IF($K37="",TODAY(),$K37),AK$67=0),"●","")</f>
        <v/>
      </c>
      <c r="AL37" s="50" t="str">
        <f aca="true">IF(AND($J37&lt;&gt;"",AL$4&gt;=$J37,AL$4&lt;=IF($K37="",TODAY(),$K37),AL$67=0),"●","")</f>
        <v/>
      </c>
      <c r="AM37" s="50" t="str">
        <f aca="true">IF(AND($J37&lt;&gt;"",AM$4&gt;=$J37,AM$4&lt;=IF($K37="",TODAY(),$K37),AM$67=0),"●","")</f>
        <v/>
      </c>
      <c r="AN37" s="50" t="str">
        <f aca="true">IF(AND($J37&lt;&gt;"",AN$4&gt;=$J37,AN$4&lt;=IF($K37="",TODAY(),$K37),AN$67=0),"●","")</f>
        <v/>
      </c>
      <c r="AO37" s="50" t="str">
        <f aca="true">IF(AND($J37&lt;&gt;"",AO$4&gt;=$J37,AO$4&lt;=IF($K37="",TODAY(),$K37),AO$67=0),"●","")</f>
        <v/>
      </c>
      <c r="AP37" s="50" t="str">
        <f aca="true">IF(AND($J37&lt;&gt;"",AP$4&gt;=$J37,AP$4&lt;=IF($K37="",TODAY(),$K37),AP$67=0),"●","")</f>
        <v/>
      </c>
      <c r="AQ37" s="50" t="str">
        <f aca="true">IF(AND($J37&lt;&gt;"",AQ$4&gt;=$J37,AQ$4&lt;=IF($K37="",TODAY(),$K37),AQ$67=0),"●","")</f>
        <v/>
      </c>
      <c r="AR37" s="50" t="str">
        <f aca="true">IF(AND($J37&lt;&gt;"",AR$4&gt;=$J37,AR$4&lt;=IF($K37="",TODAY(),$K37),AR$67=0),"●","")</f>
        <v/>
      </c>
      <c r="AS37" s="50" t="str">
        <f aca="true">IF(AND($J37&lt;&gt;"",AS$4&gt;=$J37,AS$4&lt;=IF($K37="",TODAY(),$K37),AS$67=0),"●","")</f>
        <v/>
      </c>
      <c r="AT37" s="50" t="str">
        <f aca="true">IF(AND($J37&lt;&gt;"",AT$4&gt;=$J37,AT$4&lt;=IF($K37="",TODAY(),$K37),AT$67=0),"●","")</f>
        <v/>
      </c>
      <c r="AU37" s="50" t="str">
        <f aca="true">IF(AND($J37&lt;&gt;"",AU$4&gt;=$J37,AU$4&lt;=IF($K37="",TODAY(),$K37),AU$67=0),"●","")</f>
        <v/>
      </c>
      <c r="AV37" s="50" t="str">
        <f aca="true">IF(AND($J37&lt;&gt;"",AV$4&gt;=$J37,AV$4&lt;=IF($K37="",TODAY(),$K37),AV$67=0),"●","")</f>
        <v/>
      </c>
      <c r="AW37" s="50" t="str">
        <f aca="true">IF(AND($J37&lt;&gt;"",AW$4&gt;=$J37,AW$4&lt;=IF($K37="",TODAY(),$K37),AW$67=0),"●","")</f>
        <v/>
      </c>
      <c r="AX37" s="51" t="s">
        <v>256</v>
      </c>
    </row>
    <row r="38" customFormat="false" ht="15" hidden="false" customHeight="false" outlineLevel="0" collapsed="false">
      <c r="A38" s="47" t="s">
        <v>257</v>
      </c>
      <c r="B38" s="47" t="s">
        <v>246</v>
      </c>
      <c r="C38" s="47" t="s">
        <v>258</v>
      </c>
      <c r="D38" s="57" t="s">
        <v>59</v>
      </c>
      <c r="E38" s="47" t="n">
        <v>2</v>
      </c>
      <c r="F38" s="47" t="n">
        <v>2</v>
      </c>
      <c r="G38" s="47" t="s">
        <v>253</v>
      </c>
      <c r="H38" s="49" t="n">
        <v>46311</v>
      </c>
      <c r="I38" s="49" t="n">
        <v>46314</v>
      </c>
      <c r="J38" s="49" t="n">
        <f aca="false">IF('Project Status'!E38="","",'Project Status'!E38)</f>
        <v>46319</v>
      </c>
      <c r="K38" s="49" t="n">
        <f aca="false">IF('Project Status'!F38="","",'Project Status'!F38)</f>
        <v>46319</v>
      </c>
      <c r="L38" s="47" t="str">
        <f aca="false">IF('Project Status'!G38="","",'Project Status'!G38)</f>
        <v>Completed</v>
      </c>
      <c r="M38" s="47" t="n">
        <f aca="false">IF(OR(K38="",I38=""),"",IF(K38&gt;=I38,NETWORKDAYS(I38,K38,Holidays!$A$2:$A$40)-1,-(NETWORKDAYS(K38,I38,Holidays!$A$2:$A$40)-1)))</f>
        <v>4</v>
      </c>
      <c r="N38" s="50" t="str">
        <f aca="true">IF(AND($J38&lt;&gt;"",N$4&gt;=$J38,N$4&lt;=IF($K38="",TODAY(),$K38),N$67=0),"●","")</f>
        <v/>
      </c>
      <c r="O38" s="50" t="str">
        <f aca="true">IF(AND($J38&lt;&gt;"",O$4&gt;=$J38,O$4&lt;=IF($K38="",TODAY(),$K38),O$67=0),"●","")</f>
        <v/>
      </c>
      <c r="P38" s="50" t="str">
        <f aca="true">IF(AND($J38&lt;&gt;"",P$4&gt;=$J38,P$4&lt;=IF($K38="",TODAY(),$K38),P$67=0),"●","")</f>
        <v/>
      </c>
      <c r="Q38" s="50" t="str">
        <f aca="true">IF(AND($J38&lt;&gt;"",Q$4&gt;=$J38,Q$4&lt;=IF($K38="",TODAY(),$K38),Q$67=0),"●","")</f>
        <v/>
      </c>
      <c r="R38" s="50" t="str">
        <f aca="true">IF(AND($J38&lt;&gt;"",R$4&gt;=$J38,R$4&lt;=IF($K38="",TODAY(),$K38),R$67=0),"●","")</f>
        <v/>
      </c>
      <c r="S38" s="50" t="str">
        <f aca="true">IF(AND($J38&lt;&gt;"",S$4&gt;=$J38,S$4&lt;=IF($K38="",TODAY(),$K38),S$67=0),"●","")</f>
        <v/>
      </c>
      <c r="T38" s="50" t="str">
        <f aca="true">IF(AND($J38&lt;&gt;"",T$4&gt;=$J38,T$4&lt;=IF($K38="",TODAY(),$K38),T$67=0),"●","")</f>
        <v/>
      </c>
      <c r="U38" s="50" t="str">
        <f aca="true">IF(AND($J38&lt;&gt;"",U$4&gt;=$J38,U$4&lt;=IF($K38="",TODAY(),$K38),U$67=0),"●","")</f>
        <v/>
      </c>
      <c r="V38" s="50" t="str">
        <f aca="true">IF(AND($J38&lt;&gt;"",V$4&gt;=$J38,V$4&lt;=IF($K38="",TODAY(),$K38),V$67=0),"●","")</f>
        <v/>
      </c>
      <c r="W38" s="50" t="str">
        <f aca="true">IF(AND($J38&lt;&gt;"",W$4&gt;=$J38,W$4&lt;=IF($K38="",TODAY(),$K38),W$67=0),"●","")</f>
        <v/>
      </c>
      <c r="X38" s="50" t="str">
        <f aca="true">IF(AND($J38&lt;&gt;"",X$4&gt;=$J38,X$4&lt;=IF($K38="",TODAY(),$K38),X$67=0),"●","")</f>
        <v/>
      </c>
      <c r="Y38" s="50" t="str">
        <f aca="true">IF(AND($J38&lt;&gt;"",Y$4&gt;=$J38,Y$4&lt;=IF($K38="",TODAY(),$K38),Y$67=0),"●","")</f>
        <v/>
      </c>
      <c r="Z38" s="50" t="str">
        <f aca="true">IF(AND($J38&lt;&gt;"",Z$4&gt;=$J38,Z$4&lt;=IF($K38="",TODAY(),$K38),Z$67=0),"●","")</f>
        <v/>
      </c>
      <c r="AA38" s="50" t="str">
        <f aca="true">IF(AND($J38&lt;&gt;"",AA$4&gt;=$J38,AA$4&lt;=IF($K38="",TODAY(),$K38),AA$67=0),"●","")</f>
        <v/>
      </c>
      <c r="AB38" s="50" t="str">
        <f aca="true">IF(AND($J38&lt;&gt;"",AB$4&gt;=$J38,AB$4&lt;=IF($K38="",TODAY(),$K38),AB$67=0),"●","")</f>
        <v/>
      </c>
      <c r="AC38" s="50" t="str">
        <f aca="true">IF(AND($J38&lt;&gt;"",AC$4&gt;=$J38,AC$4&lt;=IF($K38="",TODAY(),$K38),AC$67=0),"●","")</f>
        <v/>
      </c>
      <c r="AD38" s="50" t="str">
        <f aca="true">IF(AND($J38&lt;&gt;"",AD$4&gt;=$J38,AD$4&lt;=IF($K38="",TODAY(),$K38),AD$67=0),"●","")</f>
        <v/>
      </c>
      <c r="AE38" s="50" t="str">
        <f aca="true">IF(AND($J38&lt;&gt;"",AE$4&gt;=$J38,AE$4&lt;=IF($K38="",TODAY(),$K38),AE$67=0),"●","")</f>
        <v/>
      </c>
      <c r="AF38" s="50" t="str">
        <f aca="true">IF(AND($J38&lt;&gt;"",AF$4&gt;=$J38,AF$4&lt;=IF($K38="",TODAY(),$K38),AF$67=0),"●","")</f>
        <v/>
      </c>
      <c r="AG38" s="50" t="str">
        <f aca="true">IF(AND($J38&lt;&gt;"",AG$4&gt;=$J38,AG$4&lt;=IF($K38="",TODAY(),$K38),AG$67=0),"●","")</f>
        <v/>
      </c>
      <c r="AH38" s="50" t="str">
        <f aca="true">IF(AND($J38&lt;&gt;"",AH$4&gt;=$J38,AH$4&lt;=IF($K38="",TODAY(),$K38),AH$67=0),"●","")</f>
        <v/>
      </c>
      <c r="AI38" s="50" t="str">
        <f aca="true">IF(AND($J38&lt;&gt;"",AI$4&gt;=$J38,AI$4&lt;=IF($K38="",TODAY(),$K38),AI$67=0),"●","")</f>
        <v/>
      </c>
      <c r="AJ38" s="50" t="str">
        <f aca="true">IF(AND($J38&lt;&gt;"",AJ$4&gt;=$J38,AJ$4&lt;=IF($K38="",TODAY(),$K38),AJ$67=0),"●","")</f>
        <v/>
      </c>
      <c r="AK38" s="50" t="str">
        <f aca="true">IF(AND($J38&lt;&gt;"",AK$4&gt;=$J38,AK$4&lt;=IF($K38="",TODAY(),$K38),AK$67=0),"●","")</f>
        <v/>
      </c>
      <c r="AL38" s="50" t="str">
        <f aca="true">IF(AND($J38&lt;&gt;"",AL$4&gt;=$J38,AL$4&lt;=IF($K38="",TODAY(),$K38),AL$67=0),"●","")</f>
        <v/>
      </c>
      <c r="AM38" s="50" t="str">
        <f aca="true">IF(AND($J38&lt;&gt;"",AM$4&gt;=$J38,AM$4&lt;=IF($K38="",TODAY(),$K38),AM$67=0),"●","")</f>
        <v/>
      </c>
      <c r="AN38" s="50" t="str">
        <f aca="true">IF(AND($J38&lt;&gt;"",AN$4&gt;=$J38,AN$4&lt;=IF($K38="",TODAY(),$K38),AN$67=0),"●","")</f>
        <v/>
      </c>
      <c r="AO38" s="50" t="str">
        <f aca="true">IF(AND($J38&lt;&gt;"",AO$4&gt;=$J38,AO$4&lt;=IF($K38="",TODAY(),$K38),AO$67=0),"●","")</f>
        <v/>
      </c>
      <c r="AP38" s="50" t="str">
        <f aca="true">IF(AND($J38&lt;&gt;"",AP$4&gt;=$J38,AP$4&lt;=IF($K38="",TODAY(),$K38),AP$67=0),"●","")</f>
        <v/>
      </c>
      <c r="AQ38" s="50" t="str">
        <f aca="true">IF(AND($J38&lt;&gt;"",AQ$4&gt;=$J38,AQ$4&lt;=IF($K38="",TODAY(),$K38),AQ$67=0),"●","")</f>
        <v/>
      </c>
      <c r="AR38" s="50" t="str">
        <f aca="true">IF(AND($J38&lt;&gt;"",AR$4&gt;=$J38,AR$4&lt;=IF($K38="",TODAY(),$K38),AR$67=0),"●","")</f>
        <v/>
      </c>
      <c r="AS38" s="50" t="str">
        <f aca="true">IF(AND($J38&lt;&gt;"",AS$4&gt;=$J38,AS$4&lt;=IF($K38="",TODAY(),$K38),AS$67=0),"●","")</f>
        <v/>
      </c>
      <c r="AT38" s="50" t="str">
        <f aca="true">IF(AND($J38&lt;&gt;"",AT$4&gt;=$J38,AT$4&lt;=IF($K38="",TODAY(),$K38),AT$67=0),"●","")</f>
        <v/>
      </c>
      <c r="AU38" s="50" t="str">
        <f aca="true">IF(AND($J38&lt;&gt;"",AU$4&gt;=$J38,AU$4&lt;=IF($K38="",TODAY(),$K38),AU$67=0),"●","")</f>
        <v/>
      </c>
      <c r="AV38" s="50" t="str">
        <f aca="true">IF(AND($J38&lt;&gt;"",AV$4&gt;=$J38,AV$4&lt;=IF($K38="",TODAY(),$K38),AV$67=0),"●","")</f>
        <v/>
      </c>
      <c r="AW38" s="50" t="str">
        <f aca="true">IF(AND($J38&lt;&gt;"",AW$4&gt;=$J38,AW$4&lt;=IF($K38="",TODAY(),$K38),AW$67=0),"●","")</f>
        <v/>
      </c>
      <c r="AX38" s="51" t="s">
        <v>259</v>
      </c>
    </row>
    <row r="39" customFormat="false" ht="15" hidden="false" customHeight="false" outlineLevel="0" collapsed="false">
      <c r="A39" s="47" t="s">
        <v>260</v>
      </c>
      <c r="B39" s="47" t="s">
        <v>246</v>
      </c>
      <c r="C39" s="47" t="s">
        <v>261</v>
      </c>
      <c r="D39" s="57" t="s">
        <v>59</v>
      </c>
      <c r="E39" s="47" t="n">
        <v>1</v>
      </c>
      <c r="F39" s="47" t="n">
        <v>1</v>
      </c>
      <c r="G39" s="47" t="s">
        <v>262</v>
      </c>
      <c r="H39" s="49" t="n">
        <v>46315</v>
      </c>
      <c r="I39" s="49" t="n">
        <v>46315</v>
      </c>
      <c r="J39" s="49" t="n">
        <f aca="false">IF('Project Status'!E39="","",'Project Status'!E39)</f>
        <v>46319</v>
      </c>
      <c r="K39" s="49" t="str">
        <f aca="false">IF('Project Status'!F39="","",'Project Status'!F39)</f>
        <v/>
      </c>
      <c r="L39" s="47" t="str">
        <f aca="false">IF('Project Status'!G39="","",'Project Status'!G39)</f>
        <v>Canceled</v>
      </c>
      <c r="M39" s="47" t="str">
        <f aca="false">IF(OR(K39="",I39=""),"",IF(K39&gt;=I39,NETWORKDAYS(I39,K39,Holidays!$A$2:$A$40)-1,-(NETWORKDAYS(K39,I39,Holidays!$A$2:$A$40)-1)))</f>
        <v/>
      </c>
      <c r="N39" s="50" t="str">
        <f aca="true">IF(AND($J39&lt;&gt;"",N$4&gt;=$J39,N$4&lt;=IF($K39="",TODAY(),$K39),N$67=0),"●","")</f>
        <v/>
      </c>
      <c r="O39" s="50" t="str">
        <f aca="true">IF(AND($J39&lt;&gt;"",O$4&gt;=$J39,O$4&lt;=IF($K39="",TODAY(),$K39),O$67=0),"●","")</f>
        <v/>
      </c>
      <c r="P39" s="50" t="str">
        <f aca="true">IF(AND($J39&lt;&gt;"",P$4&gt;=$J39,P$4&lt;=IF($K39="",TODAY(),$K39),P$67=0),"●","")</f>
        <v/>
      </c>
      <c r="Q39" s="50" t="str">
        <f aca="true">IF(AND($J39&lt;&gt;"",Q$4&gt;=$J39,Q$4&lt;=IF($K39="",TODAY(),$K39),Q$67=0),"●","")</f>
        <v/>
      </c>
      <c r="R39" s="50" t="str">
        <f aca="true">IF(AND($J39&lt;&gt;"",R$4&gt;=$J39,R$4&lt;=IF($K39="",TODAY(),$K39),R$67=0),"●","")</f>
        <v/>
      </c>
      <c r="S39" s="50" t="str">
        <f aca="true">IF(AND($J39&lt;&gt;"",S$4&gt;=$J39,S$4&lt;=IF($K39="",TODAY(),$K39),S$67=0),"●","")</f>
        <v/>
      </c>
      <c r="T39" s="50" t="str">
        <f aca="true">IF(AND($J39&lt;&gt;"",T$4&gt;=$J39,T$4&lt;=IF($K39="",TODAY(),$K39),T$67=0),"●","")</f>
        <v/>
      </c>
      <c r="U39" s="50" t="str">
        <f aca="true">IF(AND($J39&lt;&gt;"",U$4&gt;=$J39,U$4&lt;=IF($K39="",TODAY(),$K39),U$67=0),"●","")</f>
        <v/>
      </c>
      <c r="V39" s="50" t="str">
        <f aca="true">IF(AND($J39&lt;&gt;"",V$4&gt;=$J39,V$4&lt;=IF($K39="",TODAY(),$K39),V$67=0),"●","")</f>
        <v/>
      </c>
      <c r="W39" s="50" t="str">
        <f aca="true">IF(AND($J39&lt;&gt;"",W$4&gt;=$J39,W$4&lt;=IF($K39="",TODAY(),$K39),W$67=0),"●","")</f>
        <v/>
      </c>
      <c r="X39" s="50" t="str">
        <f aca="true">IF(AND($J39&lt;&gt;"",X$4&gt;=$J39,X$4&lt;=IF($K39="",TODAY(),$K39),X$67=0),"●","")</f>
        <v/>
      </c>
      <c r="Y39" s="50" t="str">
        <f aca="true">IF(AND($J39&lt;&gt;"",Y$4&gt;=$J39,Y$4&lt;=IF($K39="",TODAY(),$K39),Y$67=0),"●","")</f>
        <v/>
      </c>
      <c r="Z39" s="50" t="str">
        <f aca="true">IF(AND($J39&lt;&gt;"",Z$4&gt;=$J39,Z$4&lt;=IF($K39="",TODAY(),$K39),Z$67=0),"●","")</f>
        <v/>
      </c>
      <c r="AA39" s="50" t="str">
        <f aca="true">IF(AND($J39&lt;&gt;"",AA$4&gt;=$J39,AA$4&lt;=IF($K39="",TODAY(),$K39),AA$67=0),"●","")</f>
        <v/>
      </c>
      <c r="AB39" s="50" t="str">
        <f aca="true">IF(AND($J39&lt;&gt;"",AB$4&gt;=$J39,AB$4&lt;=IF($K39="",TODAY(),$K39),AB$67=0),"●","")</f>
        <v/>
      </c>
      <c r="AC39" s="50" t="str">
        <f aca="true">IF(AND($J39&lt;&gt;"",AC$4&gt;=$J39,AC$4&lt;=IF($K39="",TODAY(),$K39),AC$67=0),"●","")</f>
        <v/>
      </c>
      <c r="AD39" s="50" t="str">
        <f aca="true">IF(AND($J39&lt;&gt;"",AD$4&gt;=$J39,AD$4&lt;=IF($K39="",TODAY(),$K39),AD$67=0),"●","")</f>
        <v/>
      </c>
      <c r="AE39" s="50" t="str">
        <f aca="true">IF(AND($J39&lt;&gt;"",AE$4&gt;=$J39,AE$4&lt;=IF($K39="",TODAY(),$K39),AE$67=0),"●","")</f>
        <v/>
      </c>
      <c r="AF39" s="50" t="str">
        <f aca="true">IF(AND($J39&lt;&gt;"",AF$4&gt;=$J39,AF$4&lt;=IF($K39="",TODAY(),$K39),AF$67=0),"●","")</f>
        <v/>
      </c>
      <c r="AG39" s="50" t="str">
        <f aca="true">IF(AND($J39&lt;&gt;"",AG$4&gt;=$J39,AG$4&lt;=IF($K39="",TODAY(),$K39),AG$67=0),"●","")</f>
        <v/>
      </c>
      <c r="AH39" s="50" t="str">
        <f aca="true">IF(AND($J39&lt;&gt;"",AH$4&gt;=$J39,AH$4&lt;=IF($K39="",TODAY(),$K39),AH$67=0),"●","")</f>
        <v/>
      </c>
      <c r="AI39" s="50" t="str">
        <f aca="true">IF(AND($J39&lt;&gt;"",AI$4&gt;=$J39,AI$4&lt;=IF($K39="",TODAY(),$K39),AI$67=0),"●","")</f>
        <v/>
      </c>
      <c r="AJ39" s="50" t="str">
        <f aca="true">IF(AND($J39&lt;&gt;"",AJ$4&gt;=$J39,AJ$4&lt;=IF($K39="",TODAY(),$K39),AJ$67=0),"●","")</f>
        <v/>
      </c>
      <c r="AK39" s="50" t="str">
        <f aca="true">IF(AND($J39&lt;&gt;"",AK$4&gt;=$J39,AK$4&lt;=IF($K39="",TODAY(),$K39),AK$67=0),"●","")</f>
        <v/>
      </c>
      <c r="AL39" s="50" t="str">
        <f aca="true">IF(AND($J39&lt;&gt;"",AL$4&gt;=$J39,AL$4&lt;=IF($K39="",TODAY(),$K39),AL$67=0),"●","")</f>
        <v/>
      </c>
      <c r="AM39" s="50" t="str">
        <f aca="true">IF(AND($J39&lt;&gt;"",AM$4&gt;=$J39,AM$4&lt;=IF($K39="",TODAY(),$K39),AM$67=0),"●","")</f>
        <v/>
      </c>
      <c r="AN39" s="50" t="str">
        <f aca="true">IF(AND($J39&lt;&gt;"",AN$4&gt;=$J39,AN$4&lt;=IF($K39="",TODAY(),$K39),AN$67=0),"●","")</f>
        <v/>
      </c>
      <c r="AO39" s="50" t="str">
        <f aca="true">IF(AND($J39&lt;&gt;"",AO$4&gt;=$J39,AO$4&lt;=IF($K39="",TODAY(),$K39),AO$67=0),"●","")</f>
        <v>●</v>
      </c>
      <c r="AP39" s="50" t="str">
        <f aca="true">IF(AND($J39&lt;&gt;"",AP$4&gt;=$J39,AP$4&lt;=IF($K39="",TODAY(),$K39),AP$67=0),"●","")</f>
        <v/>
      </c>
      <c r="AQ39" s="50" t="str">
        <f aca="true">IF(AND($J39&lt;&gt;"",AQ$4&gt;=$J39,AQ$4&lt;=IF($K39="",TODAY(),$K39),AQ$67=0),"●","")</f>
        <v/>
      </c>
      <c r="AR39" s="50" t="str">
        <f aca="true">IF(AND($J39&lt;&gt;"",AR$4&gt;=$J39,AR$4&lt;=IF($K39="",TODAY(),$K39),AR$67=0),"●","")</f>
        <v/>
      </c>
      <c r="AS39" s="50" t="str">
        <f aca="true">IF(AND($J39&lt;&gt;"",AS$4&gt;=$J39,AS$4&lt;=IF($K39="",TODAY(),$K39),AS$67=0),"●","")</f>
        <v/>
      </c>
      <c r="AT39" s="50" t="str">
        <f aca="true">IF(AND($J39&lt;&gt;"",AT$4&gt;=$J39,AT$4&lt;=IF($K39="",TODAY(),$K39),AT$67=0),"●","")</f>
        <v/>
      </c>
      <c r="AU39" s="50" t="str">
        <f aca="true">IF(AND($J39&lt;&gt;"",AU$4&gt;=$J39,AU$4&lt;=IF($K39="",TODAY(),$K39),AU$67=0),"●","")</f>
        <v/>
      </c>
      <c r="AV39" s="50" t="str">
        <f aca="true">IF(AND($J39&lt;&gt;"",AV$4&gt;=$J39,AV$4&lt;=IF($K39="",TODAY(),$K39),AV$67=0),"●","")</f>
        <v/>
      </c>
      <c r="AW39" s="50" t="str">
        <f aca="true">IF(AND($J39&lt;&gt;"",AW$4&gt;=$J39,AW$4&lt;=IF($K39="",TODAY(),$K39),AW$67=0),"●","")</f>
        <v/>
      </c>
      <c r="AX39" s="51" t="s">
        <v>263</v>
      </c>
    </row>
    <row r="40" customFormat="false" ht="15" hidden="false" customHeight="false" outlineLevel="0" collapsed="false">
      <c r="A40" s="47" t="s">
        <v>264</v>
      </c>
      <c r="B40" s="47" t="s">
        <v>246</v>
      </c>
      <c r="C40" s="47" t="s">
        <v>265</v>
      </c>
      <c r="D40" s="54" t="s">
        <v>43</v>
      </c>
      <c r="E40" s="47" t="n">
        <v>1</v>
      </c>
      <c r="F40" s="47" t="n">
        <v>1</v>
      </c>
      <c r="G40" s="47" t="s">
        <v>266</v>
      </c>
      <c r="H40" s="49" t="n">
        <v>46314</v>
      </c>
      <c r="I40" s="49" t="n">
        <v>46314</v>
      </c>
      <c r="J40" s="49" t="n">
        <f aca="false">IF('Project Status'!E40="","",'Project Status'!E40)</f>
        <v>46321</v>
      </c>
      <c r="K40" s="49" t="n">
        <f aca="false">IF('Project Status'!F40="","",'Project Status'!F40)</f>
        <v>46321</v>
      </c>
      <c r="L40" s="47" t="str">
        <f aca="false">IF('Project Status'!G40="","",'Project Status'!G40)</f>
        <v>Completed</v>
      </c>
      <c r="M40" s="47" t="n">
        <f aca="false">IF(OR(K40="",I40=""),"",IF(K40&gt;=I40,NETWORKDAYS(I40,K40,Holidays!$A$2:$A$40)-1,-(NETWORKDAYS(K40,I40,Holidays!$A$2:$A$40)-1)))</f>
        <v>5</v>
      </c>
      <c r="N40" s="50" t="str">
        <f aca="true">IF(AND($J40&lt;&gt;"",N$4&gt;=$J40,N$4&lt;=IF($K40="",TODAY(),$K40),N$67=0),"●","")</f>
        <v/>
      </c>
      <c r="O40" s="50" t="str">
        <f aca="true">IF(AND($J40&lt;&gt;"",O$4&gt;=$J40,O$4&lt;=IF($K40="",TODAY(),$K40),O$67=0),"●","")</f>
        <v/>
      </c>
      <c r="P40" s="50" t="str">
        <f aca="true">IF(AND($J40&lt;&gt;"",P$4&gt;=$J40,P$4&lt;=IF($K40="",TODAY(),$K40),P$67=0),"●","")</f>
        <v/>
      </c>
      <c r="Q40" s="50" t="str">
        <f aca="true">IF(AND($J40&lt;&gt;"",Q$4&gt;=$J40,Q$4&lt;=IF($K40="",TODAY(),$K40),Q$67=0),"●","")</f>
        <v/>
      </c>
      <c r="R40" s="50" t="str">
        <f aca="true">IF(AND($J40&lt;&gt;"",R$4&gt;=$J40,R$4&lt;=IF($K40="",TODAY(),$K40),R$67=0),"●","")</f>
        <v/>
      </c>
      <c r="S40" s="50" t="str">
        <f aca="true">IF(AND($J40&lt;&gt;"",S$4&gt;=$J40,S$4&lt;=IF($K40="",TODAY(),$K40),S$67=0),"●","")</f>
        <v/>
      </c>
      <c r="T40" s="50" t="str">
        <f aca="true">IF(AND($J40&lt;&gt;"",T$4&gt;=$J40,T$4&lt;=IF($K40="",TODAY(),$K40),T$67=0),"●","")</f>
        <v/>
      </c>
      <c r="U40" s="50" t="str">
        <f aca="true">IF(AND($J40&lt;&gt;"",U$4&gt;=$J40,U$4&lt;=IF($K40="",TODAY(),$K40),U$67=0),"●","")</f>
        <v/>
      </c>
      <c r="V40" s="50" t="str">
        <f aca="true">IF(AND($J40&lt;&gt;"",V$4&gt;=$J40,V$4&lt;=IF($K40="",TODAY(),$K40),V$67=0),"●","")</f>
        <v/>
      </c>
      <c r="W40" s="50" t="str">
        <f aca="true">IF(AND($J40&lt;&gt;"",W$4&gt;=$J40,W$4&lt;=IF($K40="",TODAY(),$K40),W$67=0),"●","")</f>
        <v/>
      </c>
      <c r="X40" s="50" t="str">
        <f aca="true">IF(AND($J40&lt;&gt;"",X$4&gt;=$J40,X$4&lt;=IF($K40="",TODAY(),$K40),X$67=0),"●","")</f>
        <v/>
      </c>
      <c r="Y40" s="50" t="str">
        <f aca="true">IF(AND($J40&lt;&gt;"",Y$4&gt;=$J40,Y$4&lt;=IF($K40="",TODAY(),$K40),Y$67=0),"●","")</f>
        <v/>
      </c>
      <c r="Z40" s="50" t="str">
        <f aca="true">IF(AND($J40&lt;&gt;"",Z$4&gt;=$J40,Z$4&lt;=IF($K40="",TODAY(),$K40),Z$67=0),"●","")</f>
        <v/>
      </c>
      <c r="AA40" s="50" t="str">
        <f aca="true">IF(AND($J40&lt;&gt;"",AA$4&gt;=$J40,AA$4&lt;=IF($K40="",TODAY(),$K40),AA$67=0),"●","")</f>
        <v/>
      </c>
      <c r="AB40" s="50" t="str">
        <f aca="true">IF(AND($J40&lt;&gt;"",AB$4&gt;=$J40,AB$4&lt;=IF($K40="",TODAY(),$K40),AB$67=0),"●","")</f>
        <v/>
      </c>
      <c r="AC40" s="50" t="str">
        <f aca="true">IF(AND($J40&lt;&gt;"",AC$4&gt;=$J40,AC$4&lt;=IF($K40="",TODAY(),$K40),AC$67=0),"●","")</f>
        <v/>
      </c>
      <c r="AD40" s="50" t="str">
        <f aca="true">IF(AND($J40&lt;&gt;"",AD$4&gt;=$J40,AD$4&lt;=IF($K40="",TODAY(),$K40),AD$67=0),"●","")</f>
        <v/>
      </c>
      <c r="AE40" s="50" t="str">
        <f aca="true">IF(AND($J40&lt;&gt;"",AE$4&gt;=$J40,AE$4&lt;=IF($K40="",TODAY(),$K40),AE$67=0),"●","")</f>
        <v/>
      </c>
      <c r="AF40" s="50" t="str">
        <f aca="true">IF(AND($J40&lt;&gt;"",AF$4&gt;=$J40,AF$4&lt;=IF($K40="",TODAY(),$K40),AF$67=0),"●","")</f>
        <v/>
      </c>
      <c r="AG40" s="50" t="str">
        <f aca="true">IF(AND($J40&lt;&gt;"",AG$4&gt;=$J40,AG$4&lt;=IF($K40="",TODAY(),$K40),AG$67=0),"●","")</f>
        <v/>
      </c>
      <c r="AH40" s="50" t="str">
        <f aca="true">IF(AND($J40&lt;&gt;"",AH$4&gt;=$J40,AH$4&lt;=IF($K40="",TODAY(),$K40),AH$67=0),"●","")</f>
        <v/>
      </c>
      <c r="AI40" s="50" t="str">
        <f aca="true">IF(AND($J40&lt;&gt;"",AI$4&gt;=$J40,AI$4&lt;=IF($K40="",TODAY(),$K40),AI$67=0),"●","")</f>
        <v/>
      </c>
      <c r="AJ40" s="50" t="str">
        <f aca="true">IF(AND($J40&lt;&gt;"",AJ$4&gt;=$J40,AJ$4&lt;=IF($K40="",TODAY(),$K40),AJ$67=0),"●","")</f>
        <v/>
      </c>
      <c r="AK40" s="50" t="str">
        <f aca="true">IF(AND($J40&lt;&gt;"",AK$4&gt;=$J40,AK$4&lt;=IF($K40="",TODAY(),$K40),AK$67=0),"●","")</f>
        <v/>
      </c>
      <c r="AL40" s="50" t="str">
        <f aca="true">IF(AND($J40&lt;&gt;"",AL$4&gt;=$J40,AL$4&lt;=IF($K40="",TODAY(),$K40),AL$67=0),"●","")</f>
        <v/>
      </c>
      <c r="AM40" s="50" t="str">
        <f aca="true">IF(AND($J40&lt;&gt;"",AM$4&gt;=$J40,AM$4&lt;=IF($K40="",TODAY(),$K40),AM$67=0),"●","")</f>
        <v/>
      </c>
      <c r="AN40" s="50" t="str">
        <f aca="true">IF(AND($J40&lt;&gt;"",AN$4&gt;=$J40,AN$4&lt;=IF($K40="",TODAY(),$K40),AN$67=0),"●","")</f>
        <v/>
      </c>
      <c r="AO40" s="50" t="str">
        <f aca="true">IF(AND($J40&lt;&gt;"",AO$4&gt;=$J40,AO$4&lt;=IF($K40="",TODAY(),$K40),AO$67=0),"●","")</f>
        <v>●</v>
      </c>
      <c r="AP40" s="50" t="str">
        <f aca="true">IF(AND($J40&lt;&gt;"",AP$4&gt;=$J40,AP$4&lt;=IF($K40="",TODAY(),$K40),AP$67=0),"●","")</f>
        <v/>
      </c>
      <c r="AQ40" s="50" t="str">
        <f aca="true">IF(AND($J40&lt;&gt;"",AQ$4&gt;=$J40,AQ$4&lt;=IF($K40="",TODAY(),$K40),AQ$67=0),"●","")</f>
        <v/>
      </c>
      <c r="AR40" s="50" t="str">
        <f aca="true">IF(AND($J40&lt;&gt;"",AR$4&gt;=$J40,AR$4&lt;=IF($K40="",TODAY(),$K40),AR$67=0),"●","")</f>
        <v/>
      </c>
      <c r="AS40" s="50" t="str">
        <f aca="true">IF(AND($J40&lt;&gt;"",AS$4&gt;=$J40,AS$4&lt;=IF($K40="",TODAY(),$K40),AS$67=0),"●","")</f>
        <v/>
      </c>
      <c r="AT40" s="50" t="str">
        <f aca="true">IF(AND($J40&lt;&gt;"",AT$4&gt;=$J40,AT$4&lt;=IF($K40="",TODAY(),$K40),AT$67=0),"●","")</f>
        <v/>
      </c>
      <c r="AU40" s="50" t="str">
        <f aca="true">IF(AND($J40&lt;&gt;"",AU$4&gt;=$J40,AU$4&lt;=IF($K40="",TODAY(),$K40),AU$67=0),"●","")</f>
        <v/>
      </c>
      <c r="AV40" s="50" t="str">
        <f aca="true">IF(AND($J40&lt;&gt;"",AV$4&gt;=$J40,AV$4&lt;=IF($K40="",TODAY(),$K40),AV$67=0),"●","")</f>
        <v/>
      </c>
      <c r="AW40" s="50" t="str">
        <f aca="true">IF(AND($J40&lt;&gt;"",AW$4&gt;=$J40,AW$4&lt;=IF($K40="",TODAY(),$K40),AW$67=0),"●","")</f>
        <v/>
      </c>
      <c r="AX40" s="51" t="s">
        <v>267</v>
      </c>
    </row>
    <row r="41" customFormat="false" ht="15" hidden="false" customHeight="false" outlineLevel="0" collapsed="false">
      <c r="A41" s="47" t="s">
        <v>268</v>
      </c>
      <c r="B41" s="47" t="s">
        <v>246</v>
      </c>
      <c r="C41" s="47" t="s">
        <v>269</v>
      </c>
      <c r="D41" s="54" t="s">
        <v>43</v>
      </c>
      <c r="E41" s="47" t="n">
        <v>1</v>
      </c>
      <c r="F41" s="47" t="n">
        <v>1</v>
      </c>
      <c r="G41" s="47" t="s">
        <v>264</v>
      </c>
      <c r="H41" s="49" t="n">
        <v>46315</v>
      </c>
      <c r="I41" s="49" t="n">
        <v>46315</v>
      </c>
      <c r="J41" s="49" t="n">
        <f aca="false">IF('Project Status'!E41="","",'Project Status'!E41)</f>
        <v>46321</v>
      </c>
      <c r="K41" s="49" t="n">
        <f aca="false">IF('Project Status'!F41="","",'Project Status'!F41)</f>
        <v>46321</v>
      </c>
      <c r="L41" s="47" t="str">
        <f aca="false">IF('Project Status'!G41="","",'Project Status'!G41)</f>
        <v>Completed</v>
      </c>
      <c r="M41" s="47" t="n">
        <f aca="false">IF(OR(K41="",I41=""),"",IF(K41&gt;=I41,NETWORKDAYS(I41,K41,Holidays!$A$2:$A$40)-1,-(NETWORKDAYS(K41,I41,Holidays!$A$2:$A$40)-1)))</f>
        <v>4</v>
      </c>
      <c r="N41" s="50" t="str">
        <f aca="true">IF(AND($J41&lt;&gt;"",N$4&gt;=$J41,N$4&lt;=IF($K41="",TODAY(),$K41),N$67=0),"●","")</f>
        <v/>
      </c>
      <c r="O41" s="50" t="str">
        <f aca="true">IF(AND($J41&lt;&gt;"",O$4&gt;=$J41,O$4&lt;=IF($K41="",TODAY(),$K41),O$67=0),"●","")</f>
        <v/>
      </c>
      <c r="P41" s="50" t="str">
        <f aca="true">IF(AND($J41&lt;&gt;"",P$4&gt;=$J41,P$4&lt;=IF($K41="",TODAY(),$K41),P$67=0),"●","")</f>
        <v/>
      </c>
      <c r="Q41" s="50" t="str">
        <f aca="true">IF(AND($J41&lt;&gt;"",Q$4&gt;=$J41,Q$4&lt;=IF($K41="",TODAY(),$K41),Q$67=0),"●","")</f>
        <v/>
      </c>
      <c r="R41" s="50" t="str">
        <f aca="true">IF(AND($J41&lt;&gt;"",R$4&gt;=$J41,R$4&lt;=IF($K41="",TODAY(),$K41),R$67=0),"●","")</f>
        <v/>
      </c>
      <c r="S41" s="50" t="str">
        <f aca="true">IF(AND($J41&lt;&gt;"",S$4&gt;=$J41,S$4&lt;=IF($K41="",TODAY(),$K41),S$67=0),"●","")</f>
        <v/>
      </c>
      <c r="T41" s="50" t="str">
        <f aca="true">IF(AND($J41&lt;&gt;"",T$4&gt;=$J41,T$4&lt;=IF($K41="",TODAY(),$K41),T$67=0),"●","")</f>
        <v/>
      </c>
      <c r="U41" s="50" t="str">
        <f aca="true">IF(AND($J41&lt;&gt;"",U$4&gt;=$J41,U$4&lt;=IF($K41="",TODAY(),$K41),U$67=0),"●","")</f>
        <v/>
      </c>
      <c r="V41" s="50" t="str">
        <f aca="true">IF(AND($J41&lt;&gt;"",V$4&gt;=$J41,V$4&lt;=IF($K41="",TODAY(),$K41),V$67=0),"●","")</f>
        <v/>
      </c>
      <c r="W41" s="50" t="str">
        <f aca="true">IF(AND($J41&lt;&gt;"",W$4&gt;=$J41,W$4&lt;=IF($K41="",TODAY(),$K41),W$67=0),"●","")</f>
        <v/>
      </c>
      <c r="X41" s="50" t="str">
        <f aca="true">IF(AND($J41&lt;&gt;"",X$4&gt;=$J41,X$4&lt;=IF($K41="",TODAY(),$K41),X$67=0),"●","")</f>
        <v/>
      </c>
      <c r="Y41" s="50" t="str">
        <f aca="true">IF(AND($J41&lt;&gt;"",Y$4&gt;=$J41,Y$4&lt;=IF($K41="",TODAY(),$K41),Y$67=0),"●","")</f>
        <v/>
      </c>
      <c r="Z41" s="50" t="str">
        <f aca="true">IF(AND($J41&lt;&gt;"",Z$4&gt;=$J41,Z$4&lt;=IF($K41="",TODAY(),$K41),Z$67=0),"●","")</f>
        <v/>
      </c>
      <c r="AA41" s="50" t="str">
        <f aca="true">IF(AND($J41&lt;&gt;"",AA$4&gt;=$J41,AA$4&lt;=IF($K41="",TODAY(),$K41),AA$67=0),"●","")</f>
        <v/>
      </c>
      <c r="AB41" s="50" t="str">
        <f aca="true">IF(AND($J41&lt;&gt;"",AB$4&gt;=$J41,AB$4&lt;=IF($K41="",TODAY(),$K41),AB$67=0),"●","")</f>
        <v/>
      </c>
      <c r="AC41" s="50" t="str">
        <f aca="true">IF(AND($J41&lt;&gt;"",AC$4&gt;=$J41,AC$4&lt;=IF($K41="",TODAY(),$K41),AC$67=0),"●","")</f>
        <v/>
      </c>
      <c r="AD41" s="50" t="str">
        <f aca="true">IF(AND($J41&lt;&gt;"",AD$4&gt;=$J41,AD$4&lt;=IF($K41="",TODAY(),$K41),AD$67=0),"●","")</f>
        <v/>
      </c>
      <c r="AE41" s="50" t="str">
        <f aca="true">IF(AND($J41&lt;&gt;"",AE$4&gt;=$J41,AE$4&lt;=IF($K41="",TODAY(),$K41),AE$67=0),"●","")</f>
        <v/>
      </c>
      <c r="AF41" s="50" t="str">
        <f aca="true">IF(AND($J41&lt;&gt;"",AF$4&gt;=$J41,AF$4&lt;=IF($K41="",TODAY(),$K41),AF$67=0),"●","")</f>
        <v/>
      </c>
      <c r="AG41" s="50" t="str">
        <f aca="true">IF(AND($J41&lt;&gt;"",AG$4&gt;=$J41,AG$4&lt;=IF($K41="",TODAY(),$K41),AG$67=0),"●","")</f>
        <v/>
      </c>
      <c r="AH41" s="50" t="str">
        <f aca="true">IF(AND($J41&lt;&gt;"",AH$4&gt;=$J41,AH$4&lt;=IF($K41="",TODAY(),$K41),AH$67=0),"●","")</f>
        <v/>
      </c>
      <c r="AI41" s="50" t="str">
        <f aca="true">IF(AND($J41&lt;&gt;"",AI$4&gt;=$J41,AI$4&lt;=IF($K41="",TODAY(),$K41),AI$67=0),"●","")</f>
        <v/>
      </c>
      <c r="AJ41" s="50" t="str">
        <f aca="true">IF(AND($J41&lt;&gt;"",AJ$4&gt;=$J41,AJ$4&lt;=IF($K41="",TODAY(),$K41),AJ$67=0),"●","")</f>
        <v/>
      </c>
      <c r="AK41" s="50" t="str">
        <f aca="true">IF(AND($J41&lt;&gt;"",AK$4&gt;=$J41,AK$4&lt;=IF($K41="",TODAY(),$K41),AK$67=0),"●","")</f>
        <v/>
      </c>
      <c r="AL41" s="50" t="str">
        <f aca="true">IF(AND($J41&lt;&gt;"",AL$4&gt;=$J41,AL$4&lt;=IF($K41="",TODAY(),$K41),AL$67=0),"●","")</f>
        <v/>
      </c>
      <c r="AM41" s="50" t="str">
        <f aca="true">IF(AND($J41&lt;&gt;"",AM$4&gt;=$J41,AM$4&lt;=IF($K41="",TODAY(),$K41),AM$67=0),"●","")</f>
        <v/>
      </c>
      <c r="AN41" s="50" t="str">
        <f aca="true">IF(AND($J41&lt;&gt;"",AN$4&gt;=$J41,AN$4&lt;=IF($K41="",TODAY(),$K41),AN$67=0),"●","")</f>
        <v/>
      </c>
      <c r="AO41" s="50" t="str">
        <f aca="true">IF(AND($J41&lt;&gt;"",AO$4&gt;=$J41,AO$4&lt;=IF($K41="",TODAY(),$K41),AO$67=0),"●","")</f>
        <v>●</v>
      </c>
      <c r="AP41" s="50" t="str">
        <f aca="true">IF(AND($J41&lt;&gt;"",AP$4&gt;=$J41,AP$4&lt;=IF($K41="",TODAY(),$K41),AP$67=0),"●","")</f>
        <v/>
      </c>
      <c r="AQ41" s="50" t="str">
        <f aca="true">IF(AND($J41&lt;&gt;"",AQ$4&gt;=$J41,AQ$4&lt;=IF($K41="",TODAY(),$K41),AQ$67=0),"●","")</f>
        <v/>
      </c>
      <c r="AR41" s="50" t="str">
        <f aca="true">IF(AND($J41&lt;&gt;"",AR$4&gt;=$J41,AR$4&lt;=IF($K41="",TODAY(),$K41),AR$67=0),"●","")</f>
        <v/>
      </c>
      <c r="AS41" s="50" t="str">
        <f aca="true">IF(AND($J41&lt;&gt;"",AS$4&gt;=$J41,AS$4&lt;=IF($K41="",TODAY(),$K41),AS$67=0),"●","")</f>
        <v/>
      </c>
      <c r="AT41" s="50" t="str">
        <f aca="true">IF(AND($J41&lt;&gt;"",AT$4&gt;=$J41,AT$4&lt;=IF($K41="",TODAY(),$K41),AT$67=0),"●","")</f>
        <v/>
      </c>
      <c r="AU41" s="50" t="str">
        <f aca="true">IF(AND($J41&lt;&gt;"",AU$4&gt;=$J41,AU$4&lt;=IF($K41="",TODAY(),$K41),AU$67=0),"●","")</f>
        <v/>
      </c>
      <c r="AV41" s="50" t="str">
        <f aca="true">IF(AND($J41&lt;&gt;"",AV$4&gt;=$J41,AV$4&lt;=IF($K41="",TODAY(),$K41),AV$67=0),"●","")</f>
        <v/>
      </c>
      <c r="AW41" s="50" t="str">
        <f aca="true">IF(AND($J41&lt;&gt;"",AW$4&gt;=$J41,AW$4&lt;=IF($K41="",TODAY(),$K41),AW$67=0),"●","")</f>
        <v/>
      </c>
      <c r="AX41" s="51" t="s">
        <v>270</v>
      </c>
    </row>
    <row r="42" customFormat="false" ht="15" hidden="false" customHeight="false" outlineLevel="0" collapsed="false">
      <c r="A42" s="47" t="s">
        <v>271</v>
      </c>
      <c r="B42" s="47" t="s">
        <v>246</v>
      </c>
      <c r="C42" s="47" t="s">
        <v>272</v>
      </c>
      <c r="D42" s="52" t="s">
        <v>37</v>
      </c>
      <c r="E42" s="47" t="n">
        <v>1</v>
      </c>
      <c r="F42" s="47" t="n">
        <v>1</v>
      </c>
      <c r="G42" s="47" t="s">
        <v>273</v>
      </c>
      <c r="H42" s="49" t="n">
        <v>46316</v>
      </c>
      <c r="I42" s="49" t="n">
        <v>46316</v>
      </c>
      <c r="J42" s="49" t="n">
        <f aca="false">IF('Project Status'!E42="","",'Project Status'!E42)</f>
        <v>46320</v>
      </c>
      <c r="K42" s="49" t="n">
        <f aca="false">IF('Project Status'!F42="","",'Project Status'!F42)</f>
        <v>46320</v>
      </c>
      <c r="L42" s="47" t="str">
        <f aca="false">IF('Project Status'!G42="","",'Project Status'!G42)</f>
        <v>Completed</v>
      </c>
      <c r="M42" s="47" t="n">
        <f aca="false">IF(OR(K42="",I42=""),"",IF(K42&gt;=I42,NETWORKDAYS(I42,K42,Holidays!$A$2:$A$40)-1,-(NETWORKDAYS(K42,I42,Holidays!$A$2:$A$40)-1)))</f>
        <v>2</v>
      </c>
      <c r="N42" s="50" t="str">
        <f aca="true">IF(AND($J42&lt;&gt;"",N$4&gt;=$J42,N$4&lt;=IF($K42="",TODAY(),$K42),N$67=0),"●","")</f>
        <v/>
      </c>
      <c r="O42" s="50" t="str">
        <f aca="true">IF(AND($J42&lt;&gt;"",O$4&gt;=$J42,O$4&lt;=IF($K42="",TODAY(),$K42),O$67=0),"●","")</f>
        <v/>
      </c>
      <c r="P42" s="50" t="str">
        <f aca="true">IF(AND($J42&lt;&gt;"",P$4&gt;=$J42,P$4&lt;=IF($K42="",TODAY(),$K42),P$67=0),"●","")</f>
        <v/>
      </c>
      <c r="Q42" s="50" t="str">
        <f aca="true">IF(AND($J42&lt;&gt;"",Q$4&gt;=$J42,Q$4&lt;=IF($K42="",TODAY(),$K42),Q$67=0),"●","")</f>
        <v/>
      </c>
      <c r="R42" s="50" t="str">
        <f aca="true">IF(AND($J42&lt;&gt;"",R$4&gt;=$J42,R$4&lt;=IF($K42="",TODAY(),$K42),R$67=0),"●","")</f>
        <v/>
      </c>
      <c r="S42" s="50" t="str">
        <f aca="true">IF(AND($J42&lt;&gt;"",S$4&gt;=$J42,S$4&lt;=IF($K42="",TODAY(),$K42),S$67=0),"●","")</f>
        <v/>
      </c>
      <c r="T42" s="50" t="str">
        <f aca="true">IF(AND($J42&lt;&gt;"",T$4&gt;=$J42,T$4&lt;=IF($K42="",TODAY(),$K42),T$67=0),"●","")</f>
        <v/>
      </c>
      <c r="U42" s="50" t="str">
        <f aca="true">IF(AND($J42&lt;&gt;"",U$4&gt;=$J42,U$4&lt;=IF($K42="",TODAY(),$K42),U$67=0),"●","")</f>
        <v/>
      </c>
      <c r="V42" s="50" t="str">
        <f aca="true">IF(AND($J42&lt;&gt;"",V$4&gt;=$J42,V$4&lt;=IF($K42="",TODAY(),$K42),V$67=0),"●","")</f>
        <v/>
      </c>
      <c r="W42" s="50" t="str">
        <f aca="true">IF(AND($J42&lt;&gt;"",W$4&gt;=$J42,W$4&lt;=IF($K42="",TODAY(),$K42),W$67=0),"●","")</f>
        <v/>
      </c>
      <c r="X42" s="50" t="str">
        <f aca="true">IF(AND($J42&lt;&gt;"",X$4&gt;=$J42,X$4&lt;=IF($K42="",TODAY(),$K42),X$67=0),"●","")</f>
        <v/>
      </c>
      <c r="Y42" s="50" t="str">
        <f aca="true">IF(AND($J42&lt;&gt;"",Y$4&gt;=$J42,Y$4&lt;=IF($K42="",TODAY(),$K42),Y$67=0),"●","")</f>
        <v/>
      </c>
      <c r="Z42" s="50" t="str">
        <f aca="true">IF(AND($J42&lt;&gt;"",Z$4&gt;=$J42,Z$4&lt;=IF($K42="",TODAY(),$K42),Z$67=0),"●","")</f>
        <v/>
      </c>
      <c r="AA42" s="50" t="str">
        <f aca="true">IF(AND($J42&lt;&gt;"",AA$4&gt;=$J42,AA$4&lt;=IF($K42="",TODAY(),$K42),AA$67=0),"●","")</f>
        <v/>
      </c>
      <c r="AB42" s="50" t="str">
        <f aca="true">IF(AND($J42&lt;&gt;"",AB$4&gt;=$J42,AB$4&lt;=IF($K42="",TODAY(),$K42),AB$67=0),"●","")</f>
        <v/>
      </c>
      <c r="AC42" s="50" t="str">
        <f aca="true">IF(AND($J42&lt;&gt;"",AC$4&gt;=$J42,AC$4&lt;=IF($K42="",TODAY(),$K42),AC$67=0),"●","")</f>
        <v/>
      </c>
      <c r="AD42" s="50" t="str">
        <f aca="true">IF(AND($J42&lt;&gt;"",AD$4&gt;=$J42,AD$4&lt;=IF($K42="",TODAY(),$K42),AD$67=0),"●","")</f>
        <v/>
      </c>
      <c r="AE42" s="50" t="str">
        <f aca="true">IF(AND($J42&lt;&gt;"",AE$4&gt;=$J42,AE$4&lt;=IF($K42="",TODAY(),$K42),AE$67=0),"●","")</f>
        <v/>
      </c>
      <c r="AF42" s="50" t="str">
        <f aca="true">IF(AND($J42&lt;&gt;"",AF$4&gt;=$J42,AF$4&lt;=IF($K42="",TODAY(),$K42),AF$67=0),"●","")</f>
        <v/>
      </c>
      <c r="AG42" s="50" t="str">
        <f aca="true">IF(AND($J42&lt;&gt;"",AG$4&gt;=$J42,AG$4&lt;=IF($K42="",TODAY(),$K42),AG$67=0),"●","")</f>
        <v/>
      </c>
      <c r="AH42" s="50" t="str">
        <f aca="true">IF(AND($J42&lt;&gt;"",AH$4&gt;=$J42,AH$4&lt;=IF($K42="",TODAY(),$K42),AH$67=0),"●","")</f>
        <v/>
      </c>
      <c r="AI42" s="50" t="str">
        <f aca="true">IF(AND($J42&lt;&gt;"",AI$4&gt;=$J42,AI$4&lt;=IF($K42="",TODAY(),$K42),AI$67=0),"●","")</f>
        <v/>
      </c>
      <c r="AJ42" s="50" t="str">
        <f aca="true">IF(AND($J42&lt;&gt;"",AJ$4&gt;=$J42,AJ$4&lt;=IF($K42="",TODAY(),$K42),AJ$67=0),"●","")</f>
        <v/>
      </c>
      <c r="AK42" s="50" t="str">
        <f aca="true">IF(AND($J42&lt;&gt;"",AK$4&gt;=$J42,AK$4&lt;=IF($K42="",TODAY(),$K42),AK$67=0),"●","")</f>
        <v/>
      </c>
      <c r="AL42" s="50" t="str">
        <f aca="true">IF(AND($J42&lt;&gt;"",AL$4&gt;=$J42,AL$4&lt;=IF($K42="",TODAY(),$K42),AL$67=0),"●","")</f>
        <v/>
      </c>
      <c r="AM42" s="50" t="str">
        <f aca="true">IF(AND($J42&lt;&gt;"",AM$4&gt;=$J42,AM$4&lt;=IF($K42="",TODAY(),$K42),AM$67=0),"●","")</f>
        <v/>
      </c>
      <c r="AN42" s="50" t="str">
        <f aca="true">IF(AND($J42&lt;&gt;"",AN$4&gt;=$J42,AN$4&lt;=IF($K42="",TODAY(),$K42),AN$67=0),"●","")</f>
        <v/>
      </c>
      <c r="AO42" s="50" t="str">
        <f aca="true">IF(AND($J42&lt;&gt;"",AO$4&gt;=$J42,AO$4&lt;=IF($K42="",TODAY(),$K42),AO$67=0),"●","")</f>
        <v/>
      </c>
      <c r="AP42" s="50" t="str">
        <f aca="true">IF(AND($J42&lt;&gt;"",AP$4&gt;=$J42,AP$4&lt;=IF($K42="",TODAY(),$K42),AP$67=0),"●","")</f>
        <v/>
      </c>
      <c r="AQ42" s="50" t="str">
        <f aca="true">IF(AND($J42&lt;&gt;"",AQ$4&gt;=$J42,AQ$4&lt;=IF($K42="",TODAY(),$K42),AQ$67=0),"●","")</f>
        <v/>
      </c>
      <c r="AR42" s="50" t="str">
        <f aca="true">IF(AND($J42&lt;&gt;"",AR$4&gt;=$J42,AR$4&lt;=IF($K42="",TODAY(),$K42),AR$67=0),"●","")</f>
        <v/>
      </c>
      <c r="AS42" s="50" t="str">
        <f aca="true">IF(AND($J42&lt;&gt;"",AS$4&gt;=$J42,AS$4&lt;=IF($K42="",TODAY(),$K42),AS$67=0),"●","")</f>
        <v/>
      </c>
      <c r="AT42" s="50" t="str">
        <f aca="true">IF(AND($J42&lt;&gt;"",AT$4&gt;=$J42,AT$4&lt;=IF($K42="",TODAY(),$K42),AT$67=0),"●","")</f>
        <v/>
      </c>
      <c r="AU42" s="50" t="str">
        <f aca="true">IF(AND($J42&lt;&gt;"",AU$4&gt;=$J42,AU$4&lt;=IF($K42="",TODAY(),$K42),AU$67=0),"●","")</f>
        <v/>
      </c>
      <c r="AV42" s="50" t="str">
        <f aca="true">IF(AND($J42&lt;&gt;"",AV$4&gt;=$J42,AV$4&lt;=IF($K42="",TODAY(),$K42),AV$67=0),"●","")</f>
        <v/>
      </c>
      <c r="AW42" s="50" t="str">
        <f aca="true">IF(AND($J42&lt;&gt;"",AW$4&gt;=$J42,AW$4&lt;=IF($K42="",TODAY(),$K42),AW$67=0),"●","")</f>
        <v/>
      </c>
      <c r="AX42" s="51" t="s">
        <v>274</v>
      </c>
    </row>
    <row r="43" customFormat="false" ht="15" hidden="false" customHeight="false" outlineLevel="0" collapsed="false">
      <c r="A43" s="47" t="s">
        <v>275</v>
      </c>
      <c r="B43" s="47" t="s">
        <v>246</v>
      </c>
      <c r="C43" s="47" t="s">
        <v>276</v>
      </c>
      <c r="D43" s="48" t="s">
        <v>33</v>
      </c>
      <c r="E43" s="47" t="n">
        <v>1</v>
      </c>
      <c r="F43" s="47" t="n">
        <v>1</v>
      </c>
      <c r="G43" s="47" t="s">
        <v>250</v>
      </c>
      <c r="H43" s="49" t="n">
        <v>46315</v>
      </c>
      <c r="I43" s="49" t="n">
        <v>46315</v>
      </c>
      <c r="J43" s="49" t="n">
        <f aca="false">IF('Project Status'!E43="","",'Project Status'!E43)</f>
        <v>46319</v>
      </c>
      <c r="K43" s="49" t="n">
        <f aca="false">IF('Project Status'!F43="","",'Project Status'!F43)</f>
        <v>46319</v>
      </c>
      <c r="L43" s="47" t="str">
        <f aca="false">IF('Project Status'!G43="","",'Project Status'!G43)</f>
        <v>Completed</v>
      </c>
      <c r="M43" s="47" t="n">
        <f aca="false">IF(OR(K43="",I43=""),"",IF(K43&gt;=I43,NETWORKDAYS(I43,K43,Holidays!$A$2:$A$40)-1,-(NETWORKDAYS(K43,I43,Holidays!$A$2:$A$40)-1)))</f>
        <v>3</v>
      </c>
      <c r="N43" s="50" t="str">
        <f aca="true">IF(AND($J43&lt;&gt;"",N$4&gt;=$J43,N$4&lt;=IF($K43="",TODAY(),$K43),N$67=0),"●","")</f>
        <v/>
      </c>
      <c r="O43" s="50" t="str">
        <f aca="true">IF(AND($J43&lt;&gt;"",O$4&gt;=$J43,O$4&lt;=IF($K43="",TODAY(),$K43),O$67=0),"●","")</f>
        <v/>
      </c>
      <c r="P43" s="50" t="str">
        <f aca="true">IF(AND($J43&lt;&gt;"",P$4&gt;=$J43,P$4&lt;=IF($K43="",TODAY(),$K43),P$67=0),"●","")</f>
        <v/>
      </c>
      <c r="Q43" s="50" t="str">
        <f aca="true">IF(AND($J43&lt;&gt;"",Q$4&gt;=$J43,Q$4&lt;=IF($K43="",TODAY(),$K43),Q$67=0),"●","")</f>
        <v/>
      </c>
      <c r="R43" s="50" t="str">
        <f aca="true">IF(AND($J43&lt;&gt;"",R$4&gt;=$J43,R$4&lt;=IF($K43="",TODAY(),$K43),R$67=0),"●","")</f>
        <v/>
      </c>
      <c r="S43" s="50" t="str">
        <f aca="true">IF(AND($J43&lt;&gt;"",S$4&gt;=$J43,S$4&lt;=IF($K43="",TODAY(),$K43),S$67=0),"●","")</f>
        <v/>
      </c>
      <c r="T43" s="50" t="str">
        <f aca="true">IF(AND($J43&lt;&gt;"",T$4&gt;=$J43,T$4&lt;=IF($K43="",TODAY(),$K43),T$67=0),"●","")</f>
        <v/>
      </c>
      <c r="U43" s="50" t="str">
        <f aca="true">IF(AND($J43&lt;&gt;"",U$4&gt;=$J43,U$4&lt;=IF($K43="",TODAY(),$K43),U$67=0),"●","")</f>
        <v/>
      </c>
      <c r="V43" s="50" t="str">
        <f aca="true">IF(AND($J43&lt;&gt;"",V$4&gt;=$J43,V$4&lt;=IF($K43="",TODAY(),$K43),V$67=0),"●","")</f>
        <v/>
      </c>
      <c r="W43" s="50" t="str">
        <f aca="true">IF(AND($J43&lt;&gt;"",W$4&gt;=$J43,W$4&lt;=IF($K43="",TODAY(),$K43),W$67=0),"●","")</f>
        <v/>
      </c>
      <c r="X43" s="50" t="str">
        <f aca="true">IF(AND($J43&lt;&gt;"",X$4&gt;=$J43,X$4&lt;=IF($K43="",TODAY(),$K43),X$67=0),"●","")</f>
        <v/>
      </c>
      <c r="Y43" s="50" t="str">
        <f aca="true">IF(AND($J43&lt;&gt;"",Y$4&gt;=$J43,Y$4&lt;=IF($K43="",TODAY(),$K43),Y$67=0),"●","")</f>
        <v/>
      </c>
      <c r="Z43" s="50" t="str">
        <f aca="true">IF(AND($J43&lt;&gt;"",Z$4&gt;=$J43,Z$4&lt;=IF($K43="",TODAY(),$K43),Z$67=0),"●","")</f>
        <v/>
      </c>
      <c r="AA43" s="50" t="str">
        <f aca="true">IF(AND($J43&lt;&gt;"",AA$4&gt;=$J43,AA$4&lt;=IF($K43="",TODAY(),$K43),AA$67=0),"●","")</f>
        <v/>
      </c>
      <c r="AB43" s="50" t="str">
        <f aca="true">IF(AND($J43&lt;&gt;"",AB$4&gt;=$J43,AB$4&lt;=IF($K43="",TODAY(),$K43),AB$67=0),"●","")</f>
        <v/>
      </c>
      <c r="AC43" s="50" t="str">
        <f aca="true">IF(AND($J43&lt;&gt;"",AC$4&gt;=$J43,AC$4&lt;=IF($K43="",TODAY(),$K43),AC$67=0),"●","")</f>
        <v/>
      </c>
      <c r="AD43" s="50" t="str">
        <f aca="true">IF(AND($J43&lt;&gt;"",AD$4&gt;=$J43,AD$4&lt;=IF($K43="",TODAY(),$K43),AD$67=0),"●","")</f>
        <v/>
      </c>
      <c r="AE43" s="50" t="str">
        <f aca="true">IF(AND($J43&lt;&gt;"",AE$4&gt;=$J43,AE$4&lt;=IF($K43="",TODAY(),$K43),AE$67=0),"●","")</f>
        <v/>
      </c>
      <c r="AF43" s="50" t="str">
        <f aca="true">IF(AND($J43&lt;&gt;"",AF$4&gt;=$J43,AF$4&lt;=IF($K43="",TODAY(),$K43),AF$67=0),"●","")</f>
        <v/>
      </c>
      <c r="AG43" s="50" t="str">
        <f aca="true">IF(AND($J43&lt;&gt;"",AG$4&gt;=$J43,AG$4&lt;=IF($K43="",TODAY(),$K43),AG$67=0),"●","")</f>
        <v/>
      </c>
      <c r="AH43" s="50" t="str">
        <f aca="true">IF(AND($J43&lt;&gt;"",AH$4&gt;=$J43,AH$4&lt;=IF($K43="",TODAY(),$K43),AH$67=0),"●","")</f>
        <v/>
      </c>
      <c r="AI43" s="50" t="str">
        <f aca="true">IF(AND($J43&lt;&gt;"",AI$4&gt;=$J43,AI$4&lt;=IF($K43="",TODAY(),$K43),AI$67=0),"●","")</f>
        <v/>
      </c>
      <c r="AJ43" s="50" t="str">
        <f aca="true">IF(AND($J43&lt;&gt;"",AJ$4&gt;=$J43,AJ$4&lt;=IF($K43="",TODAY(),$K43),AJ$67=0),"●","")</f>
        <v/>
      </c>
      <c r="AK43" s="50" t="str">
        <f aca="true">IF(AND($J43&lt;&gt;"",AK$4&gt;=$J43,AK$4&lt;=IF($K43="",TODAY(),$K43),AK$67=0),"●","")</f>
        <v/>
      </c>
      <c r="AL43" s="50" t="str">
        <f aca="true">IF(AND($J43&lt;&gt;"",AL$4&gt;=$J43,AL$4&lt;=IF($K43="",TODAY(),$K43),AL$67=0),"●","")</f>
        <v/>
      </c>
      <c r="AM43" s="50" t="str">
        <f aca="true">IF(AND($J43&lt;&gt;"",AM$4&gt;=$J43,AM$4&lt;=IF($K43="",TODAY(),$K43),AM$67=0),"●","")</f>
        <v/>
      </c>
      <c r="AN43" s="50" t="str">
        <f aca="true">IF(AND($J43&lt;&gt;"",AN$4&gt;=$J43,AN$4&lt;=IF($K43="",TODAY(),$K43),AN$67=0),"●","")</f>
        <v/>
      </c>
      <c r="AO43" s="50" t="str">
        <f aca="true">IF(AND($J43&lt;&gt;"",AO$4&gt;=$J43,AO$4&lt;=IF($K43="",TODAY(),$K43),AO$67=0),"●","")</f>
        <v/>
      </c>
      <c r="AP43" s="50" t="str">
        <f aca="true">IF(AND($J43&lt;&gt;"",AP$4&gt;=$J43,AP$4&lt;=IF($K43="",TODAY(),$K43),AP$67=0),"●","")</f>
        <v/>
      </c>
      <c r="AQ43" s="50" t="str">
        <f aca="true">IF(AND($J43&lt;&gt;"",AQ$4&gt;=$J43,AQ$4&lt;=IF($K43="",TODAY(),$K43),AQ$67=0),"●","")</f>
        <v/>
      </c>
      <c r="AR43" s="50" t="str">
        <f aca="true">IF(AND($J43&lt;&gt;"",AR$4&gt;=$J43,AR$4&lt;=IF($K43="",TODAY(),$K43),AR$67=0),"●","")</f>
        <v/>
      </c>
      <c r="AS43" s="50" t="str">
        <f aca="true">IF(AND($J43&lt;&gt;"",AS$4&gt;=$J43,AS$4&lt;=IF($K43="",TODAY(),$K43),AS$67=0),"●","")</f>
        <v/>
      </c>
      <c r="AT43" s="50" t="str">
        <f aca="true">IF(AND($J43&lt;&gt;"",AT$4&gt;=$J43,AT$4&lt;=IF($K43="",TODAY(),$K43),AT$67=0),"●","")</f>
        <v/>
      </c>
      <c r="AU43" s="50" t="str">
        <f aca="true">IF(AND($J43&lt;&gt;"",AU$4&gt;=$J43,AU$4&lt;=IF($K43="",TODAY(),$K43),AU$67=0),"●","")</f>
        <v/>
      </c>
      <c r="AV43" s="50" t="str">
        <f aca="true">IF(AND($J43&lt;&gt;"",AV$4&gt;=$J43,AV$4&lt;=IF($K43="",TODAY(),$K43),AV$67=0),"●","")</f>
        <v/>
      </c>
      <c r="AW43" s="50" t="str">
        <f aca="true">IF(AND($J43&lt;&gt;"",AW$4&gt;=$J43,AW$4&lt;=IF($K43="",TODAY(),$K43),AW$67=0),"●","")</f>
        <v/>
      </c>
      <c r="AX43" s="51" t="s">
        <v>277</v>
      </c>
    </row>
    <row r="44" customFormat="false" ht="15" hidden="false" customHeight="false" outlineLevel="0" collapsed="false">
      <c r="A44" s="60" t="s">
        <v>278</v>
      </c>
      <c r="B44" s="47" t="s">
        <v>246</v>
      </c>
      <c r="C44" s="47" t="s">
        <v>279</v>
      </c>
      <c r="D44" s="48" t="s">
        <v>39</v>
      </c>
      <c r="E44" s="47" t="n">
        <v>1</v>
      </c>
      <c r="F44" s="47" t="n">
        <v>1</v>
      </c>
      <c r="G44" s="60" t="s">
        <v>275</v>
      </c>
      <c r="H44" s="49" t="n">
        <v>46320</v>
      </c>
      <c r="I44" s="49" t="n">
        <v>46321</v>
      </c>
      <c r="J44" s="49" t="n">
        <f aca="false">IF('Project Status'!E44="","",'Project Status'!E44)</f>
        <v>46320</v>
      </c>
      <c r="K44" s="49" t="n">
        <f aca="false">IF('Project Status'!F44="","",'Project Status'!F44)</f>
        <v>46321</v>
      </c>
      <c r="L44" s="47" t="str">
        <f aca="false">IF('Project Status'!G44="","",'Project Status'!G44)</f>
        <v>Completed</v>
      </c>
      <c r="M44" s="47" t="n">
        <f aca="false">IF(OR(K44="",I44=""),"",IF(K44&gt;=I44,NETWORKDAYS(I44,K44,Holidays!$A$2:$A$40)-1,-(NETWORKDAYS(K44,I44,Holidays!$A$2:$A$40)-1)))</f>
        <v>0</v>
      </c>
      <c r="N44" s="50" t="str">
        <f aca="true">IF(AND($J44&lt;&gt;"",N$4&gt;=$J44,N$4&lt;=IF($K44="",TODAY(),$K44),N$67=0),"●","")</f>
        <v/>
      </c>
      <c r="O44" s="50" t="str">
        <f aca="true">IF(AND($J44&lt;&gt;"",O$4&gt;=$J44,O$4&lt;=IF($K44="",TODAY(),$K44),O$67=0),"●","")</f>
        <v/>
      </c>
      <c r="P44" s="50" t="str">
        <f aca="true">IF(AND($J44&lt;&gt;"",P$4&gt;=$J44,P$4&lt;=IF($K44="",TODAY(),$K44),P$67=0),"●","")</f>
        <v/>
      </c>
      <c r="Q44" s="50" t="str">
        <f aca="true">IF(AND($J44&lt;&gt;"",Q$4&gt;=$J44,Q$4&lt;=IF($K44="",TODAY(),$K44),Q$67=0),"●","")</f>
        <v/>
      </c>
      <c r="R44" s="50" t="str">
        <f aca="true">IF(AND($J44&lt;&gt;"",R$4&gt;=$J44,R$4&lt;=IF($K44="",TODAY(),$K44),R$67=0),"●","")</f>
        <v/>
      </c>
      <c r="S44" s="50" t="str">
        <f aca="true">IF(AND($J44&lt;&gt;"",S$4&gt;=$J44,S$4&lt;=IF($K44="",TODAY(),$K44),S$67=0),"●","")</f>
        <v/>
      </c>
      <c r="T44" s="50" t="str">
        <f aca="true">IF(AND($J44&lt;&gt;"",T$4&gt;=$J44,T$4&lt;=IF($K44="",TODAY(),$K44),T$67=0),"●","")</f>
        <v/>
      </c>
      <c r="U44" s="50" t="str">
        <f aca="true">IF(AND($J44&lt;&gt;"",U$4&gt;=$J44,U$4&lt;=IF($K44="",TODAY(),$K44),U$67=0),"●","")</f>
        <v/>
      </c>
      <c r="V44" s="50" t="str">
        <f aca="true">IF(AND($J44&lt;&gt;"",V$4&gt;=$J44,V$4&lt;=IF($K44="",TODAY(),$K44),V$67=0),"●","")</f>
        <v/>
      </c>
      <c r="W44" s="50" t="str">
        <f aca="true">IF(AND($J44&lt;&gt;"",W$4&gt;=$J44,W$4&lt;=IF($K44="",TODAY(),$K44),W$67=0),"●","")</f>
        <v/>
      </c>
      <c r="X44" s="50" t="str">
        <f aca="true">IF(AND($J44&lt;&gt;"",X$4&gt;=$J44,X$4&lt;=IF($K44="",TODAY(),$K44),X$67=0),"●","")</f>
        <v/>
      </c>
      <c r="Y44" s="50" t="str">
        <f aca="true">IF(AND($J44&lt;&gt;"",Y$4&gt;=$J44,Y$4&lt;=IF($K44="",TODAY(),$K44),Y$67=0),"●","")</f>
        <v/>
      </c>
      <c r="Z44" s="50" t="str">
        <f aca="true">IF(AND($J44&lt;&gt;"",Z$4&gt;=$J44,Z$4&lt;=IF($K44="",TODAY(),$K44),Z$67=0),"●","")</f>
        <v/>
      </c>
      <c r="AA44" s="50" t="str">
        <f aca="true">IF(AND($J44&lt;&gt;"",AA$4&gt;=$J44,AA$4&lt;=IF($K44="",TODAY(),$K44),AA$67=0),"●","")</f>
        <v/>
      </c>
      <c r="AB44" s="50" t="str">
        <f aca="true">IF(AND($J44&lt;&gt;"",AB$4&gt;=$J44,AB$4&lt;=IF($K44="",TODAY(),$K44),AB$67=0),"●","")</f>
        <v/>
      </c>
      <c r="AC44" s="50" t="str">
        <f aca="true">IF(AND($J44&lt;&gt;"",AC$4&gt;=$J44,AC$4&lt;=IF($K44="",TODAY(),$K44),AC$67=0),"●","")</f>
        <v/>
      </c>
      <c r="AD44" s="50" t="str">
        <f aca="true">IF(AND($J44&lt;&gt;"",AD$4&gt;=$J44,AD$4&lt;=IF($K44="",TODAY(),$K44),AD$67=0),"●","")</f>
        <v/>
      </c>
      <c r="AE44" s="50" t="str">
        <f aca="true">IF(AND($J44&lt;&gt;"",AE$4&gt;=$J44,AE$4&lt;=IF($K44="",TODAY(),$K44),AE$67=0),"●","")</f>
        <v/>
      </c>
      <c r="AF44" s="50" t="str">
        <f aca="true">IF(AND($J44&lt;&gt;"",AF$4&gt;=$J44,AF$4&lt;=IF($K44="",TODAY(),$K44),AF$67=0),"●","")</f>
        <v/>
      </c>
      <c r="AG44" s="50" t="str">
        <f aca="true">IF(AND($J44&lt;&gt;"",AG$4&gt;=$J44,AG$4&lt;=IF($K44="",TODAY(),$K44),AG$67=0),"●","")</f>
        <v/>
      </c>
      <c r="AH44" s="50" t="str">
        <f aca="true">IF(AND($J44&lt;&gt;"",AH$4&gt;=$J44,AH$4&lt;=IF($K44="",TODAY(),$K44),AH$67=0),"●","")</f>
        <v/>
      </c>
      <c r="AI44" s="50" t="str">
        <f aca="true">IF(AND($J44&lt;&gt;"",AI$4&gt;=$J44,AI$4&lt;=IF($K44="",TODAY(),$K44),AI$67=0),"●","")</f>
        <v/>
      </c>
      <c r="AJ44" s="50" t="str">
        <f aca="true">IF(AND($J44&lt;&gt;"",AJ$4&gt;=$J44,AJ$4&lt;=IF($K44="",TODAY(),$K44),AJ$67=0),"●","")</f>
        <v/>
      </c>
      <c r="AK44" s="50" t="str">
        <f aca="true">IF(AND($J44&lt;&gt;"",AK$4&gt;=$J44,AK$4&lt;=IF($K44="",TODAY(),$K44),AK$67=0),"●","")</f>
        <v/>
      </c>
      <c r="AL44" s="50" t="str">
        <f aca="true">IF(AND($J44&lt;&gt;"",AL$4&gt;=$J44,AL$4&lt;=IF($K44="",TODAY(),$K44),AL$67=0),"●","")</f>
        <v/>
      </c>
      <c r="AM44" s="50" t="str">
        <f aca="true">IF(AND($J44&lt;&gt;"",AM$4&gt;=$J44,AM$4&lt;=IF($K44="",TODAY(),$K44),AM$67=0),"●","")</f>
        <v/>
      </c>
      <c r="AN44" s="50" t="str">
        <f aca="true">IF(AND($J44&lt;&gt;"",AN$4&gt;=$J44,AN$4&lt;=IF($K44="",TODAY(),$K44),AN$67=0),"●","")</f>
        <v/>
      </c>
      <c r="AO44" s="50" t="str">
        <f aca="true">IF(AND($J44&lt;&gt;"",AO$4&gt;=$J44,AO$4&lt;=IF($K44="",TODAY(),$K44),AO$67=0),"●","")</f>
        <v>●</v>
      </c>
      <c r="AP44" s="50" t="str">
        <f aca="true">IF(AND($J44&lt;&gt;"",AP$4&gt;=$J44,AP$4&lt;=IF($K44="",TODAY(),$K44),AP$67=0),"●","")</f>
        <v/>
      </c>
      <c r="AQ44" s="50" t="str">
        <f aca="true">IF(AND($J44&lt;&gt;"",AQ$4&gt;=$J44,AQ$4&lt;=IF($K44="",TODAY(),$K44),AQ$67=0),"●","")</f>
        <v/>
      </c>
      <c r="AR44" s="50" t="str">
        <f aca="true">IF(AND($J44&lt;&gt;"",AR$4&gt;=$J44,AR$4&lt;=IF($K44="",TODAY(),$K44),AR$67=0),"●","")</f>
        <v/>
      </c>
      <c r="AS44" s="50" t="str">
        <f aca="true">IF(AND($J44&lt;&gt;"",AS$4&gt;=$J44,AS$4&lt;=IF($K44="",TODAY(),$K44),AS$67=0),"●","")</f>
        <v/>
      </c>
      <c r="AT44" s="50" t="str">
        <f aca="true">IF(AND($J44&lt;&gt;"",AT$4&gt;=$J44,AT$4&lt;=IF($K44="",TODAY(),$K44),AT$67=0),"●","")</f>
        <v/>
      </c>
      <c r="AU44" s="50" t="str">
        <f aca="true">IF(AND($J44&lt;&gt;"",AU$4&gt;=$J44,AU$4&lt;=IF($K44="",TODAY(),$K44),AU$67=0),"●","")</f>
        <v/>
      </c>
      <c r="AV44" s="50" t="str">
        <f aca="true">IF(AND($J44&lt;&gt;"",AV$4&gt;=$J44,AV$4&lt;=IF($K44="",TODAY(),$K44),AV$67=0),"●","")</f>
        <v/>
      </c>
      <c r="AW44" s="50" t="str">
        <f aca="true">IF(AND($J44&lt;&gt;"",AW$4&gt;=$J44,AW$4&lt;=IF($K44="",TODAY(),$K44),AW$67=0),"●","")</f>
        <v/>
      </c>
      <c r="AX44" s="51" t="s">
        <v>277</v>
      </c>
    </row>
    <row r="45" customFormat="false" ht="15" hidden="false" customHeight="false" outlineLevel="0" collapsed="false">
      <c r="A45" s="60" t="s">
        <v>280</v>
      </c>
      <c r="B45" s="47" t="s">
        <v>246</v>
      </c>
      <c r="C45" s="47" t="s">
        <v>281</v>
      </c>
      <c r="D45" s="48" t="s">
        <v>59</v>
      </c>
      <c r="E45" s="47" t="n">
        <v>1</v>
      </c>
      <c r="F45" s="47" t="n">
        <v>1</v>
      </c>
      <c r="G45" s="60" t="s">
        <v>247</v>
      </c>
      <c r="H45" s="49" t="n">
        <v>46321</v>
      </c>
      <c r="I45" s="49" t="n">
        <v>46321</v>
      </c>
      <c r="J45" s="49" t="n">
        <f aca="false">IF('Project Status'!E45="","",'Project Status'!E45)</f>
        <v>46321</v>
      </c>
      <c r="K45" s="49" t="n">
        <f aca="false">IF('Project Status'!F45="","",'Project Status'!F45)</f>
        <v>46321</v>
      </c>
      <c r="L45" s="47" t="str">
        <f aca="false">IF('Project Status'!G45="","",'Project Status'!G45)</f>
        <v>Completed</v>
      </c>
      <c r="M45" s="47" t="n">
        <f aca="false">IF(OR(K45="",I45=""),"",IF(K45&gt;=I45,NETWORKDAYS(I45,K45,Holidays!$A$2:$A$40)-1,-(NETWORKDAYS(K45,I45,Holidays!$A$2:$A$40)-1)))</f>
        <v>0</v>
      </c>
      <c r="N45" s="50" t="str">
        <f aca="true">IF(AND($J45&lt;&gt;"",N$4&gt;=$J45,N$4&lt;=IF($K45="",TODAY(),$K45),N$67=0),"●","")</f>
        <v/>
      </c>
      <c r="O45" s="50" t="str">
        <f aca="true">IF(AND($J45&lt;&gt;"",O$4&gt;=$J45,O$4&lt;=IF($K45="",TODAY(),$K45),O$67=0),"●","")</f>
        <v/>
      </c>
      <c r="P45" s="50" t="str">
        <f aca="true">IF(AND($J45&lt;&gt;"",P$4&gt;=$J45,P$4&lt;=IF($K45="",TODAY(),$K45),P$67=0),"●","")</f>
        <v/>
      </c>
      <c r="Q45" s="50" t="str">
        <f aca="true">IF(AND($J45&lt;&gt;"",Q$4&gt;=$J45,Q$4&lt;=IF($K45="",TODAY(),$K45),Q$67=0),"●","")</f>
        <v/>
      </c>
      <c r="R45" s="50" t="str">
        <f aca="true">IF(AND($J45&lt;&gt;"",R$4&gt;=$J45,R$4&lt;=IF($K45="",TODAY(),$K45),R$67=0),"●","")</f>
        <v/>
      </c>
      <c r="S45" s="50" t="str">
        <f aca="true">IF(AND($J45&lt;&gt;"",S$4&gt;=$J45,S$4&lt;=IF($K45="",TODAY(),$K45),S$67=0),"●","")</f>
        <v/>
      </c>
      <c r="T45" s="50" t="str">
        <f aca="true">IF(AND($J45&lt;&gt;"",T$4&gt;=$J45,T$4&lt;=IF($K45="",TODAY(),$K45),T$67=0),"●","")</f>
        <v/>
      </c>
      <c r="U45" s="50" t="str">
        <f aca="true">IF(AND($J45&lt;&gt;"",U$4&gt;=$J45,U$4&lt;=IF($K45="",TODAY(),$K45),U$67=0),"●","")</f>
        <v/>
      </c>
      <c r="V45" s="50" t="str">
        <f aca="true">IF(AND($J45&lt;&gt;"",V$4&gt;=$J45,V$4&lt;=IF($K45="",TODAY(),$K45),V$67=0),"●","")</f>
        <v/>
      </c>
      <c r="W45" s="50" t="str">
        <f aca="true">IF(AND($J45&lt;&gt;"",W$4&gt;=$J45,W$4&lt;=IF($K45="",TODAY(),$K45),W$67=0),"●","")</f>
        <v/>
      </c>
      <c r="X45" s="50" t="str">
        <f aca="true">IF(AND($J45&lt;&gt;"",X$4&gt;=$J45,X$4&lt;=IF($K45="",TODAY(),$K45),X$67=0),"●","")</f>
        <v/>
      </c>
      <c r="Y45" s="50" t="str">
        <f aca="true">IF(AND($J45&lt;&gt;"",Y$4&gt;=$J45,Y$4&lt;=IF($K45="",TODAY(),$K45),Y$67=0),"●","")</f>
        <v/>
      </c>
      <c r="Z45" s="50" t="str">
        <f aca="true">IF(AND($J45&lt;&gt;"",Z$4&gt;=$J45,Z$4&lt;=IF($K45="",TODAY(),$K45),Z$67=0),"●","")</f>
        <v/>
      </c>
      <c r="AA45" s="50" t="str">
        <f aca="true">IF(AND($J45&lt;&gt;"",AA$4&gt;=$J45,AA$4&lt;=IF($K45="",TODAY(),$K45),AA$67=0),"●","")</f>
        <v/>
      </c>
      <c r="AB45" s="50" t="str">
        <f aca="true">IF(AND($J45&lt;&gt;"",AB$4&gt;=$J45,AB$4&lt;=IF($K45="",TODAY(),$K45),AB$67=0),"●","")</f>
        <v/>
      </c>
      <c r="AC45" s="50" t="str">
        <f aca="true">IF(AND($J45&lt;&gt;"",AC$4&gt;=$J45,AC$4&lt;=IF($K45="",TODAY(),$K45),AC$67=0),"●","")</f>
        <v/>
      </c>
      <c r="AD45" s="50" t="str">
        <f aca="true">IF(AND($J45&lt;&gt;"",AD$4&gt;=$J45,AD$4&lt;=IF($K45="",TODAY(),$K45),AD$67=0),"●","")</f>
        <v/>
      </c>
      <c r="AE45" s="50" t="str">
        <f aca="true">IF(AND($J45&lt;&gt;"",AE$4&gt;=$J45,AE$4&lt;=IF($K45="",TODAY(),$K45),AE$67=0),"●","")</f>
        <v/>
      </c>
      <c r="AF45" s="50" t="str">
        <f aca="true">IF(AND($J45&lt;&gt;"",AF$4&gt;=$J45,AF$4&lt;=IF($K45="",TODAY(),$K45),AF$67=0),"●","")</f>
        <v/>
      </c>
      <c r="AG45" s="50" t="str">
        <f aca="true">IF(AND($J45&lt;&gt;"",AG$4&gt;=$J45,AG$4&lt;=IF($K45="",TODAY(),$K45),AG$67=0),"●","")</f>
        <v/>
      </c>
      <c r="AH45" s="50" t="str">
        <f aca="true">IF(AND($J45&lt;&gt;"",AH$4&gt;=$J45,AH$4&lt;=IF($K45="",TODAY(),$K45),AH$67=0),"●","")</f>
        <v/>
      </c>
      <c r="AI45" s="50" t="str">
        <f aca="true">IF(AND($J45&lt;&gt;"",AI$4&gt;=$J45,AI$4&lt;=IF($K45="",TODAY(),$K45),AI$67=0),"●","")</f>
        <v/>
      </c>
      <c r="AJ45" s="50" t="str">
        <f aca="true">IF(AND($J45&lt;&gt;"",AJ$4&gt;=$J45,AJ$4&lt;=IF($K45="",TODAY(),$K45),AJ$67=0),"●","")</f>
        <v/>
      </c>
      <c r="AK45" s="50" t="str">
        <f aca="true">IF(AND($J45&lt;&gt;"",AK$4&gt;=$J45,AK$4&lt;=IF($K45="",TODAY(),$K45),AK$67=0),"●","")</f>
        <v/>
      </c>
      <c r="AL45" s="50" t="str">
        <f aca="true">IF(AND($J45&lt;&gt;"",AL$4&gt;=$J45,AL$4&lt;=IF($K45="",TODAY(),$K45),AL$67=0),"●","")</f>
        <v/>
      </c>
      <c r="AM45" s="50" t="str">
        <f aca="true">IF(AND($J45&lt;&gt;"",AM$4&gt;=$J45,AM$4&lt;=IF($K45="",TODAY(),$K45),AM$67=0),"●","")</f>
        <v/>
      </c>
      <c r="AN45" s="50" t="str">
        <f aca="true">IF(AND($J45&lt;&gt;"",AN$4&gt;=$J45,AN$4&lt;=IF($K45="",TODAY(),$K45),AN$67=0),"●","")</f>
        <v/>
      </c>
      <c r="AO45" s="50" t="str">
        <f aca="true">IF(AND($J45&lt;&gt;"",AO$4&gt;=$J45,AO$4&lt;=IF($K45="",TODAY(),$K45),AO$67=0),"●","")</f>
        <v>●</v>
      </c>
      <c r="AP45" s="50" t="str">
        <f aca="true">IF(AND($J45&lt;&gt;"",AP$4&gt;=$J45,AP$4&lt;=IF($K45="",TODAY(),$K45),AP$67=0),"●","")</f>
        <v/>
      </c>
      <c r="AQ45" s="50" t="str">
        <f aca="true">IF(AND($J45&lt;&gt;"",AQ$4&gt;=$J45,AQ$4&lt;=IF($K45="",TODAY(),$K45),AQ$67=0),"●","")</f>
        <v/>
      </c>
      <c r="AR45" s="50" t="str">
        <f aca="true">IF(AND($J45&lt;&gt;"",AR$4&gt;=$J45,AR$4&lt;=IF($K45="",TODAY(),$K45),AR$67=0),"●","")</f>
        <v/>
      </c>
      <c r="AS45" s="50" t="str">
        <f aca="true">IF(AND($J45&lt;&gt;"",AS$4&gt;=$J45,AS$4&lt;=IF($K45="",TODAY(),$K45),AS$67=0),"●","")</f>
        <v/>
      </c>
      <c r="AT45" s="50" t="str">
        <f aca="true">IF(AND($J45&lt;&gt;"",AT$4&gt;=$J45,AT$4&lt;=IF($K45="",TODAY(),$K45),AT$67=0),"●","")</f>
        <v/>
      </c>
      <c r="AU45" s="50" t="str">
        <f aca="true">IF(AND($J45&lt;&gt;"",AU$4&gt;=$J45,AU$4&lt;=IF($K45="",TODAY(),$K45),AU$67=0),"●","")</f>
        <v/>
      </c>
      <c r="AV45" s="50" t="str">
        <f aca="true">IF(AND($J45&lt;&gt;"",AV$4&gt;=$J45,AV$4&lt;=IF($K45="",TODAY(),$K45),AV$67=0),"●","")</f>
        <v/>
      </c>
      <c r="AW45" s="50" t="str">
        <f aca="true">IF(AND($J45&lt;&gt;"",AW$4&gt;=$J45,AW$4&lt;=IF($K45="",TODAY(),$K45),AW$67=0),"●","")</f>
        <v/>
      </c>
      <c r="AX45" s="51" t="s">
        <v>277</v>
      </c>
    </row>
    <row r="46" customFormat="false" ht="15" hidden="false" customHeight="false" outlineLevel="0" collapsed="false">
      <c r="A46" s="32" t="s">
        <v>282</v>
      </c>
      <c r="B46" s="33" t="s">
        <v>282</v>
      </c>
      <c r="C46" s="33" t="s">
        <v>112</v>
      </c>
      <c r="D46" s="33"/>
      <c r="E46" s="33" t="n">
        <f aca="false">NETWORKDAYS(H46,I46,Holidays!$A$2:$A$40)</f>
        <v>11</v>
      </c>
      <c r="F46" s="33"/>
      <c r="G46" s="33"/>
      <c r="H46" s="61" t="n">
        <f aca="false">MIN(H47:H62)</f>
        <v>46315</v>
      </c>
      <c r="I46" s="61" t="n">
        <f aca="false">MAX(I47:I62)</f>
        <v>46329</v>
      </c>
      <c r="J46" s="33"/>
      <c r="K46" s="33"/>
      <c r="L46" s="33"/>
      <c r="M46" s="33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</row>
    <row r="47" customFormat="false" ht="15" hidden="false" customHeight="false" outlineLevel="0" collapsed="false">
      <c r="A47" s="47" t="s">
        <v>283</v>
      </c>
      <c r="B47" s="47" t="s">
        <v>282</v>
      </c>
      <c r="C47" s="47" t="s">
        <v>284</v>
      </c>
      <c r="D47" s="54" t="s">
        <v>43</v>
      </c>
      <c r="E47" s="47" t="n">
        <v>2</v>
      </c>
      <c r="F47" s="47" t="n">
        <v>2</v>
      </c>
      <c r="G47" s="47" t="s">
        <v>230</v>
      </c>
      <c r="H47" s="49" t="n">
        <v>46316</v>
      </c>
      <c r="I47" s="49" t="n">
        <v>46317</v>
      </c>
      <c r="J47" s="49" t="n">
        <f aca="false">IF('Project Status'!E47="","",'Project Status'!E47)</f>
        <v>46319</v>
      </c>
      <c r="K47" s="49" t="n">
        <f aca="false">IF('Project Status'!F47="","",'Project Status'!F47)</f>
        <v>46321</v>
      </c>
      <c r="L47" s="47" t="str">
        <f aca="false">IF('Project Status'!G47="","",'Project Status'!G47)</f>
        <v>Completed</v>
      </c>
      <c r="M47" s="47" t="n">
        <f aca="false">IF(OR(K47="",I47=""),"",IF(K47&gt;=I47,NETWORKDAYS(I47,K47,Holidays!$A$2:$A$40)-1,-(NETWORKDAYS(K47,I47,Holidays!$A$2:$A$40)-1)))</f>
        <v>2</v>
      </c>
      <c r="N47" s="50" t="str">
        <f aca="true">IF(AND($J47&lt;&gt;"",N$4&gt;=$J47,N$4&lt;=IF($K47="",TODAY(),$K47),N$67=0),"●","")</f>
        <v/>
      </c>
      <c r="O47" s="50" t="str">
        <f aca="true">IF(AND($J47&lt;&gt;"",O$4&gt;=$J47,O$4&lt;=IF($K47="",TODAY(),$K47),O$67=0),"●","")</f>
        <v/>
      </c>
      <c r="P47" s="50" t="str">
        <f aca="true">IF(AND($J47&lt;&gt;"",P$4&gt;=$J47,P$4&lt;=IF($K47="",TODAY(),$K47),P$67=0),"●","")</f>
        <v/>
      </c>
      <c r="Q47" s="50" t="str">
        <f aca="true">IF(AND($J47&lt;&gt;"",Q$4&gt;=$J47,Q$4&lt;=IF($K47="",TODAY(),$K47),Q$67=0),"●","")</f>
        <v/>
      </c>
      <c r="R47" s="50" t="str">
        <f aca="true">IF(AND($J47&lt;&gt;"",R$4&gt;=$J47,R$4&lt;=IF($K47="",TODAY(),$K47),R$67=0),"●","")</f>
        <v/>
      </c>
      <c r="S47" s="50" t="str">
        <f aca="true">IF(AND($J47&lt;&gt;"",S$4&gt;=$J47,S$4&lt;=IF($K47="",TODAY(),$K47),S$67=0),"●","")</f>
        <v/>
      </c>
      <c r="T47" s="50" t="str">
        <f aca="true">IF(AND($J47&lt;&gt;"",T$4&gt;=$J47,T$4&lt;=IF($K47="",TODAY(),$K47),T$67=0),"●","")</f>
        <v/>
      </c>
      <c r="U47" s="50" t="str">
        <f aca="true">IF(AND($J47&lt;&gt;"",U$4&gt;=$J47,U$4&lt;=IF($K47="",TODAY(),$K47),U$67=0),"●","")</f>
        <v/>
      </c>
      <c r="V47" s="50" t="str">
        <f aca="true">IF(AND($J47&lt;&gt;"",V$4&gt;=$J47,V$4&lt;=IF($K47="",TODAY(),$K47),V$67=0),"●","")</f>
        <v/>
      </c>
      <c r="W47" s="50" t="str">
        <f aca="true">IF(AND($J47&lt;&gt;"",W$4&gt;=$J47,W$4&lt;=IF($K47="",TODAY(),$K47),W$67=0),"●","")</f>
        <v/>
      </c>
      <c r="X47" s="50" t="str">
        <f aca="true">IF(AND($J47&lt;&gt;"",X$4&gt;=$J47,X$4&lt;=IF($K47="",TODAY(),$K47),X$67=0),"●","")</f>
        <v/>
      </c>
      <c r="Y47" s="50" t="str">
        <f aca="true">IF(AND($J47&lt;&gt;"",Y$4&gt;=$J47,Y$4&lt;=IF($K47="",TODAY(),$K47),Y$67=0),"●","")</f>
        <v/>
      </c>
      <c r="Z47" s="50" t="str">
        <f aca="true">IF(AND($J47&lt;&gt;"",Z$4&gt;=$J47,Z$4&lt;=IF($K47="",TODAY(),$K47),Z$67=0),"●","")</f>
        <v/>
      </c>
      <c r="AA47" s="50" t="str">
        <f aca="true">IF(AND($J47&lt;&gt;"",AA$4&gt;=$J47,AA$4&lt;=IF($K47="",TODAY(),$K47),AA$67=0),"●","")</f>
        <v/>
      </c>
      <c r="AB47" s="50" t="str">
        <f aca="true">IF(AND($J47&lt;&gt;"",AB$4&gt;=$J47,AB$4&lt;=IF($K47="",TODAY(),$K47),AB$67=0),"●","")</f>
        <v/>
      </c>
      <c r="AC47" s="50" t="str">
        <f aca="true">IF(AND($J47&lt;&gt;"",AC$4&gt;=$J47,AC$4&lt;=IF($K47="",TODAY(),$K47),AC$67=0),"●","")</f>
        <v/>
      </c>
      <c r="AD47" s="50" t="str">
        <f aca="true">IF(AND($J47&lt;&gt;"",AD$4&gt;=$J47,AD$4&lt;=IF($K47="",TODAY(),$K47),AD$67=0),"●","")</f>
        <v/>
      </c>
      <c r="AE47" s="50" t="str">
        <f aca="true">IF(AND($J47&lt;&gt;"",AE$4&gt;=$J47,AE$4&lt;=IF($K47="",TODAY(),$K47),AE$67=0),"●","")</f>
        <v/>
      </c>
      <c r="AF47" s="50" t="str">
        <f aca="true">IF(AND($J47&lt;&gt;"",AF$4&gt;=$J47,AF$4&lt;=IF($K47="",TODAY(),$K47),AF$67=0),"●","")</f>
        <v/>
      </c>
      <c r="AG47" s="50" t="str">
        <f aca="true">IF(AND($J47&lt;&gt;"",AG$4&gt;=$J47,AG$4&lt;=IF($K47="",TODAY(),$K47),AG$67=0),"●","")</f>
        <v/>
      </c>
      <c r="AH47" s="50" t="str">
        <f aca="true">IF(AND($J47&lt;&gt;"",AH$4&gt;=$J47,AH$4&lt;=IF($K47="",TODAY(),$K47),AH$67=0),"●","")</f>
        <v/>
      </c>
      <c r="AI47" s="50" t="str">
        <f aca="true">IF(AND($J47&lt;&gt;"",AI$4&gt;=$J47,AI$4&lt;=IF($K47="",TODAY(),$K47),AI$67=0),"●","")</f>
        <v/>
      </c>
      <c r="AJ47" s="50" t="str">
        <f aca="true">IF(AND($J47&lt;&gt;"",AJ$4&gt;=$J47,AJ$4&lt;=IF($K47="",TODAY(),$K47),AJ$67=0),"●","")</f>
        <v/>
      </c>
      <c r="AK47" s="50" t="str">
        <f aca="true">IF(AND($J47&lt;&gt;"",AK$4&gt;=$J47,AK$4&lt;=IF($K47="",TODAY(),$K47),AK$67=0),"●","")</f>
        <v/>
      </c>
      <c r="AL47" s="50" t="str">
        <f aca="true">IF(AND($J47&lt;&gt;"",AL$4&gt;=$J47,AL$4&lt;=IF($K47="",TODAY(),$K47),AL$67=0),"●","")</f>
        <v/>
      </c>
      <c r="AM47" s="50" t="str">
        <f aca="true">IF(AND($J47&lt;&gt;"",AM$4&gt;=$J47,AM$4&lt;=IF($K47="",TODAY(),$K47),AM$67=0),"●","")</f>
        <v/>
      </c>
      <c r="AN47" s="50" t="str">
        <f aca="true">IF(AND($J47&lt;&gt;"",AN$4&gt;=$J47,AN$4&lt;=IF($K47="",TODAY(),$K47),AN$67=0),"●","")</f>
        <v/>
      </c>
      <c r="AO47" s="50" t="str">
        <f aca="true">IF(AND($J47&lt;&gt;"",AO$4&gt;=$J47,AO$4&lt;=IF($K47="",TODAY(),$K47),AO$67=0),"●","")</f>
        <v>●</v>
      </c>
      <c r="AP47" s="50" t="str">
        <f aca="true">IF(AND($J47&lt;&gt;"",AP$4&gt;=$J47,AP$4&lt;=IF($K47="",TODAY(),$K47),AP$67=0),"●","")</f>
        <v/>
      </c>
      <c r="AQ47" s="50" t="str">
        <f aca="true">IF(AND($J47&lt;&gt;"",AQ$4&gt;=$J47,AQ$4&lt;=IF($K47="",TODAY(),$K47),AQ$67=0),"●","")</f>
        <v/>
      </c>
      <c r="AR47" s="50" t="str">
        <f aca="true">IF(AND($J47&lt;&gt;"",AR$4&gt;=$J47,AR$4&lt;=IF($K47="",TODAY(),$K47),AR$67=0),"●","")</f>
        <v/>
      </c>
      <c r="AS47" s="50" t="str">
        <f aca="true">IF(AND($J47&lt;&gt;"",AS$4&gt;=$J47,AS$4&lt;=IF($K47="",TODAY(),$K47),AS$67=0),"●","")</f>
        <v/>
      </c>
      <c r="AT47" s="50" t="str">
        <f aca="true">IF(AND($J47&lt;&gt;"",AT$4&gt;=$J47,AT$4&lt;=IF($K47="",TODAY(),$K47),AT$67=0),"●","")</f>
        <v/>
      </c>
      <c r="AU47" s="50" t="str">
        <f aca="true">IF(AND($J47&lt;&gt;"",AU$4&gt;=$J47,AU$4&lt;=IF($K47="",TODAY(),$K47),AU$67=0),"●","")</f>
        <v/>
      </c>
      <c r="AV47" s="50" t="str">
        <f aca="true">IF(AND($J47&lt;&gt;"",AV$4&gt;=$J47,AV$4&lt;=IF($K47="",TODAY(),$K47),AV$67=0),"●","")</f>
        <v/>
      </c>
      <c r="AW47" s="50" t="str">
        <f aca="true">IF(AND($J47&lt;&gt;"",AW$4&gt;=$J47,AW$4&lt;=IF($K47="",TODAY(),$K47),AW$67=0),"●","")</f>
        <v/>
      </c>
      <c r="AX47" s="51" t="s">
        <v>285</v>
      </c>
    </row>
    <row r="48" customFormat="false" ht="15" hidden="false" customHeight="false" outlineLevel="0" collapsed="false">
      <c r="A48" s="47" t="s">
        <v>286</v>
      </c>
      <c r="B48" s="47" t="s">
        <v>282</v>
      </c>
      <c r="C48" s="47" t="s">
        <v>287</v>
      </c>
      <c r="D48" s="48" t="s">
        <v>33</v>
      </c>
      <c r="E48" s="47" t="n">
        <v>2</v>
      </c>
      <c r="F48" s="47" t="n">
        <v>2</v>
      </c>
      <c r="G48" s="47" t="s">
        <v>288</v>
      </c>
      <c r="H48" s="49" t="n">
        <v>46316</v>
      </c>
      <c r="I48" s="49" t="n">
        <v>46317</v>
      </c>
      <c r="J48" s="49" t="n">
        <f aca="false">IF('Project Status'!E48="","",'Project Status'!E48)</f>
        <v>46321</v>
      </c>
      <c r="K48" s="49" t="n">
        <f aca="false">IF('Project Status'!F48="","",'Project Status'!F48)</f>
        <v>46321</v>
      </c>
      <c r="L48" s="47" t="str">
        <f aca="false">IF('Project Status'!G48="","",'Project Status'!G48)</f>
        <v>Completed</v>
      </c>
      <c r="M48" s="47" t="n">
        <f aca="false">IF(OR(K48="",I48=""),"",IF(K48&gt;=I48,NETWORKDAYS(I48,K48,Holidays!$A$2:$A$40)-1,-(NETWORKDAYS(K48,I48,Holidays!$A$2:$A$40)-1)))</f>
        <v>2</v>
      </c>
      <c r="N48" s="50" t="str">
        <f aca="true">IF(AND($J48&lt;&gt;"",N$4&gt;=$J48,N$4&lt;=IF($K48="",TODAY(),$K48),N$67=0),"●","")</f>
        <v/>
      </c>
      <c r="O48" s="50" t="str">
        <f aca="true">IF(AND($J48&lt;&gt;"",O$4&gt;=$J48,O$4&lt;=IF($K48="",TODAY(),$K48),O$67=0),"●","")</f>
        <v/>
      </c>
      <c r="P48" s="50" t="str">
        <f aca="true">IF(AND($J48&lt;&gt;"",P$4&gt;=$J48,P$4&lt;=IF($K48="",TODAY(),$K48),P$67=0),"●","")</f>
        <v/>
      </c>
      <c r="Q48" s="50" t="str">
        <f aca="true">IF(AND($J48&lt;&gt;"",Q$4&gt;=$J48,Q$4&lt;=IF($K48="",TODAY(),$K48),Q$67=0),"●","")</f>
        <v/>
      </c>
      <c r="R48" s="50" t="str">
        <f aca="true">IF(AND($J48&lt;&gt;"",R$4&gt;=$J48,R$4&lt;=IF($K48="",TODAY(),$K48),R$67=0),"●","")</f>
        <v/>
      </c>
      <c r="S48" s="50" t="str">
        <f aca="true">IF(AND($J48&lt;&gt;"",S$4&gt;=$J48,S$4&lt;=IF($K48="",TODAY(),$K48),S$67=0),"●","")</f>
        <v/>
      </c>
      <c r="T48" s="50" t="str">
        <f aca="true">IF(AND($J48&lt;&gt;"",T$4&gt;=$J48,T$4&lt;=IF($K48="",TODAY(),$K48),T$67=0),"●","")</f>
        <v/>
      </c>
      <c r="U48" s="50" t="str">
        <f aca="true">IF(AND($J48&lt;&gt;"",U$4&gt;=$J48,U$4&lt;=IF($K48="",TODAY(),$K48),U$67=0),"●","")</f>
        <v/>
      </c>
      <c r="V48" s="50" t="str">
        <f aca="true">IF(AND($J48&lt;&gt;"",V$4&gt;=$J48,V$4&lt;=IF($K48="",TODAY(),$K48),V$67=0),"●","")</f>
        <v/>
      </c>
      <c r="W48" s="50" t="str">
        <f aca="true">IF(AND($J48&lt;&gt;"",W$4&gt;=$J48,W$4&lt;=IF($K48="",TODAY(),$K48),W$67=0),"●","")</f>
        <v/>
      </c>
      <c r="X48" s="50" t="str">
        <f aca="true">IF(AND($J48&lt;&gt;"",X$4&gt;=$J48,X$4&lt;=IF($K48="",TODAY(),$K48),X$67=0),"●","")</f>
        <v/>
      </c>
      <c r="Y48" s="50" t="str">
        <f aca="true">IF(AND($J48&lt;&gt;"",Y$4&gt;=$J48,Y$4&lt;=IF($K48="",TODAY(),$K48),Y$67=0),"●","")</f>
        <v/>
      </c>
      <c r="Z48" s="50" t="str">
        <f aca="true">IF(AND($J48&lt;&gt;"",Z$4&gt;=$J48,Z$4&lt;=IF($K48="",TODAY(),$K48),Z$67=0),"●","")</f>
        <v/>
      </c>
      <c r="AA48" s="50" t="str">
        <f aca="true">IF(AND($J48&lt;&gt;"",AA$4&gt;=$J48,AA$4&lt;=IF($K48="",TODAY(),$K48),AA$67=0),"●","")</f>
        <v/>
      </c>
      <c r="AB48" s="50" t="str">
        <f aca="true">IF(AND($J48&lt;&gt;"",AB$4&gt;=$J48,AB$4&lt;=IF($K48="",TODAY(),$K48),AB$67=0),"●","")</f>
        <v/>
      </c>
      <c r="AC48" s="50" t="str">
        <f aca="true">IF(AND($J48&lt;&gt;"",AC$4&gt;=$J48,AC$4&lt;=IF($K48="",TODAY(),$K48),AC$67=0),"●","")</f>
        <v/>
      </c>
      <c r="AD48" s="50" t="str">
        <f aca="true">IF(AND($J48&lt;&gt;"",AD$4&gt;=$J48,AD$4&lt;=IF($K48="",TODAY(),$K48),AD$67=0),"●","")</f>
        <v/>
      </c>
      <c r="AE48" s="50" t="str">
        <f aca="true">IF(AND($J48&lt;&gt;"",AE$4&gt;=$J48,AE$4&lt;=IF($K48="",TODAY(),$K48),AE$67=0),"●","")</f>
        <v/>
      </c>
      <c r="AF48" s="50" t="str">
        <f aca="true">IF(AND($J48&lt;&gt;"",AF$4&gt;=$J48,AF$4&lt;=IF($K48="",TODAY(),$K48),AF$67=0),"●","")</f>
        <v/>
      </c>
      <c r="AG48" s="50" t="str">
        <f aca="true">IF(AND($J48&lt;&gt;"",AG$4&gt;=$J48,AG$4&lt;=IF($K48="",TODAY(),$K48),AG$67=0),"●","")</f>
        <v/>
      </c>
      <c r="AH48" s="50" t="str">
        <f aca="true">IF(AND($J48&lt;&gt;"",AH$4&gt;=$J48,AH$4&lt;=IF($K48="",TODAY(),$K48),AH$67=0),"●","")</f>
        <v/>
      </c>
      <c r="AI48" s="50" t="str">
        <f aca="true">IF(AND($J48&lt;&gt;"",AI$4&gt;=$J48,AI$4&lt;=IF($K48="",TODAY(),$K48),AI$67=0),"●","")</f>
        <v/>
      </c>
      <c r="AJ48" s="50" t="str">
        <f aca="true">IF(AND($J48&lt;&gt;"",AJ$4&gt;=$J48,AJ$4&lt;=IF($K48="",TODAY(),$K48),AJ$67=0),"●","")</f>
        <v/>
      </c>
      <c r="AK48" s="50" t="str">
        <f aca="true">IF(AND($J48&lt;&gt;"",AK$4&gt;=$J48,AK$4&lt;=IF($K48="",TODAY(),$K48),AK$67=0),"●","")</f>
        <v/>
      </c>
      <c r="AL48" s="50" t="str">
        <f aca="true">IF(AND($J48&lt;&gt;"",AL$4&gt;=$J48,AL$4&lt;=IF($K48="",TODAY(),$K48),AL$67=0),"●","")</f>
        <v/>
      </c>
      <c r="AM48" s="50" t="str">
        <f aca="true">IF(AND($J48&lt;&gt;"",AM$4&gt;=$J48,AM$4&lt;=IF($K48="",TODAY(),$K48),AM$67=0),"●","")</f>
        <v/>
      </c>
      <c r="AN48" s="50" t="str">
        <f aca="true">IF(AND($J48&lt;&gt;"",AN$4&gt;=$J48,AN$4&lt;=IF($K48="",TODAY(),$K48),AN$67=0),"●","")</f>
        <v/>
      </c>
      <c r="AO48" s="50" t="str">
        <f aca="true">IF(AND($J48&lt;&gt;"",AO$4&gt;=$J48,AO$4&lt;=IF($K48="",TODAY(),$K48),AO$67=0),"●","")</f>
        <v>●</v>
      </c>
      <c r="AP48" s="50" t="str">
        <f aca="true">IF(AND($J48&lt;&gt;"",AP$4&gt;=$J48,AP$4&lt;=IF($K48="",TODAY(),$K48),AP$67=0),"●","")</f>
        <v/>
      </c>
      <c r="AQ48" s="50" t="str">
        <f aca="true">IF(AND($J48&lt;&gt;"",AQ$4&gt;=$J48,AQ$4&lt;=IF($K48="",TODAY(),$K48),AQ$67=0),"●","")</f>
        <v/>
      </c>
      <c r="AR48" s="50" t="str">
        <f aca="true">IF(AND($J48&lt;&gt;"",AR$4&gt;=$J48,AR$4&lt;=IF($K48="",TODAY(),$K48),AR$67=0),"●","")</f>
        <v/>
      </c>
      <c r="AS48" s="50" t="str">
        <f aca="true">IF(AND($J48&lt;&gt;"",AS$4&gt;=$J48,AS$4&lt;=IF($K48="",TODAY(),$K48),AS$67=0),"●","")</f>
        <v/>
      </c>
      <c r="AT48" s="50" t="str">
        <f aca="true">IF(AND($J48&lt;&gt;"",AT$4&gt;=$J48,AT$4&lt;=IF($K48="",TODAY(),$K48),AT$67=0),"●","")</f>
        <v/>
      </c>
      <c r="AU48" s="50" t="str">
        <f aca="true">IF(AND($J48&lt;&gt;"",AU$4&gt;=$J48,AU$4&lt;=IF($K48="",TODAY(),$K48),AU$67=0),"●","")</f>
        <v/>
      </c>
      <c r="AV48" s="50" t="str">
        <f aca="true">IF(AND($J48&lt;&gt;"",AV$4&gt;=$J48,AV$4&lt;=IF($K48="",TODAY(),$K48),AV$67=0),"●","")</f>
        <v/>
      </c>
      <c r="AW48" s="50" t="str">
        <f aca="true">IF(AND($J48&lt;&gt;"",AW$4&gt;=$J48,AW$4&lt;=IF($K48="",TODAY(),$K48),AW$67=0),"●","")</f>
        <v/>
      </c>
      <c r="AX48" s="51" t="s">
        <v>289</v>
      </c>
    </row>
    <row r="49" customFormat="false" ht="15" hidden="false" customHeight="false" outlineLevel="0" collapsed="false">
      <c r="A49" s="47" t="s">
        <v>290</v>
      </c>
      <c r="B49" s="47" t="s">
        <v>282</v>
      </c>
      <c r="C49" s="47" t="s">
        <v>291</v>
      </c>
      <c r="D49" s="56" t="s">
        <v>56</v>
      </c>
      <c r="E49" s="47" t="n">
        <v>2</v>
      </c>
      <c r="F49" s="47" t="n">
        <v>2</v>
      </c>
      <c r="G49" s="47" t="s">
        <v>250</v>
      </c>
      <c r="H49" s="49" t="n">
        <v>46315</v>
      </c>
      <c r="I49" s="49" t="n">
        <v>46316</v>
      </c>
      <c r="J49" s="49" t="n">
        <f aca="false">IF('Project Status'!E49="","",'Project Status'!E49)</f>
        <v>46321</v>
      </c>
      <c r="K49" s="49" t="n">
        <f aca="false">IF('Project Status'!F49="","",'Project Status'!F49)</f>
        <v>46321</v>
      </c>
      <c r="L49" s="47" t="str">
        <f aca="false">IF('Project Status'!G49="","",'Project Status'!G49)</f>
        <v>Completed</v>
      </c>
      <c r="M49" s="47" t="n">
        <f aca="false">IF(OR(K49="",I49=""),"",IF(K49&gt;=I49,NETWORKDAYS(I49,K49,Holidays!$A$2:$A$40)-1,-(NETWORKDAYS(K49,I49,Holidays!$A$2:$A$40)-1)))</f>
        <v>3</v>
      </c>
      <c r="N49" s="50" t="str">
        <f aca="true">IF(AND($J49&lt;&gt;"",N$4&gt;=$J49,N$4&lt;=IF($K49="",TODAY(),$K49),N$67=0),"●","")</f>
        <v/>
      </c>
      <c r="O49" s="50" t="str">
        <f aca="true">IF(AND($J49&lt;&gt;"",O$4&gt;=$J49,O$4&lt;=IF($K49="",TODAY(),$K49),O$67=0),"●","")</f>
        <v/>
      </c>
      <c r="P49" s="50" t="str">
        <f aca="true">IF(AND($J49&lt;&gt;"",P$4&gt;=$J49,P$4&lt;=IF($K49="",TODAY(),$K49),P$67=0),"●","")</f>
        <v/>
      </c>
      <c r="Q49" s="50" t="str">
        <f aca="true">IF(AND($J49&lt;&gt;"",Q$4&gt;=$J49,Q$4&lt;=IF($K49="",TODAY(),$K49),Q$67=0),"●","")</f>
        <v/>
      </c>
      <c r="R49" s="50" t="str">
        <f aca="true">IF(AND($J49&lt;&gt;"",R$4&gt;=$J49,R$4&lt;=IF($K49="",TODAY(),$K49),R$67=0),"●","")</f>
        <v/>
      </c>
      <c r="S49" s="50" t="str">
        <f aca="true">IF(AND($J49&lt;&gt;"",S$4&gt;=$J49,S$4&lt;=IF($K49="",TODAY(),$K49),S$67=0),"●","")</f>
        <v/>
      </c>
      <c r="T49" s="50" t="str">
        <f aca="true">IF(AND($J49&lt;&gt;"",T$4&gt;=$J49,T$4&lt;=IF($K49="",TODAY(),$K49),T$67=0),"●","")</f>
        <v/>
      </c>
      <c r="U49" s="50" t="str">
        <f aca="true">IF(AND($J49&lt;&gt;"",U$4&gt;=$J49,U$4&lt;=IF($K49="",TODAY(),$K49),U$67=0),"●","")</f>
        <v/>
      </c>
      <c r="V49" s="50" t="str">
        <f aca="true">IF(AND($J49&lt;&gt;"",V$4&gt;=$J49,V$4&lt;=IF($K49="",TODAY(),$K49),V$67=0),"●","")</f>
        <v/>
      </c>
      <c r="W49" s="50" t="str">
        <f aca="true">IF(AND($J49&lt;&gt;"",W$4&gt;=$J49,W$4&lt;=IF($K49="",TODAY(),$K49),W$67=0),"●","")</f>
        <v/>
      </c>
      <c r="X49" s="50" t="str">
        <f aca="true">IF(AND($J49&lt;&gt;"",X$4&gt;=$J49,X$4&lt;=IF($K49="",TODAY(),$K49),X$67=0),"●","")</f>
        <v/>
      </c>
      <c r="Y49" s="50" t="str">
        <f aca="true">IF(AND($J49&lt;&gt;"",Y$4&gt;=$J49,Y$4&lt;=IF($K49="",TODAY(),$K49),Y$67=0),"●","")</f>
        <v/>
      </c>
      <c r="Z49" s="50" t="str">
        <f aca="true">IF(AND($J49&lt;&gt;"",Z$4&gt;=$J49,Z$4&lt;=IF($K49="",TODAY(),$K49),Z$67=0),"●","")</f>
        <v/>
      </c>
      <c r="AA49" s="50" t="str">
        <f aca="true">IF(AND($J49&lt;&gt;"",AA$4&gt;=$J49,AA$4&lt;=IF($K49="",TODAY(),$K49),AA$67=0),"●","")</f>
        <v/>
      </c>
      <c r="AB49" s="50" t="str">
        <f aca="true">IF(AND($J49&lt;&gt;"",AB$4&gt;=$J49,AB$4&lt;=IF($K49="",TODAY(),$K49),AB$67=0),"●","")</f>
        <v/>
      </c>
      <c r="AC49" s="50" t="str">
        <f aca="true">IF(AND($J49&lt;&gt;"",AC$4&gt;=$J49,AC$4&lt;=IF($K49="",TODAY(),$K49),AC$67=0),"●","")</f>
        <v/>
      </c>
      <c r="AD49" s="50" t="str">
        <f aca="true">IF(AND($J49&lt;&gt;"",AD$4&gt;=$J49,AD$4&lt;=IF($K49="",TODAY(),$K49),AD$67=0),"●","")</f>
        <v/>
      </c>
      <c r="AE49" s="50" t="str">
        <f aca="true">IF(AND($J49&lt;&gt;"",AE$4&gt;=$J49,AE$4&lt;=IF($K49="",TODAY(),$K49),AE$67=0),"●","")</f>
        <v/>
      </c>
      <c r="AF49" s="50" t="str">
        <f aca="true">IF(AND($J49&lt;&gt;"",AF$4&gt;=$J49,AF$4&lt;=IF($K49="",TODAY(),$K49),AF$67=0),"●","")</f>
        <v/>
      </c>
      <c r="AG49" s="50" t="str">
        <f aca="true">IF(AND($J49&lt;&gt;"",AG$4&gt;=$J49,AG$4&lt;=IF($K49="",TODAY(),$K49),AG$67=0),"●","")</f>
        <v/>
      </c>
      <c r="AH49" s="50" t="str">
        <f aca="true">IF(AND($J49&lt;&gt;"",AH$4&gt;=$J49,AH$4&lt;=IF($K49="",TODAY(),$K49),AH$67=0),"●","")</f>
        <v/>
      </c>
      <c r="AI49" s="50" t="str">
        <f aca="true">IF(AND($J49&lt;&gt;"",AI$4&gt;=$J49,AI$4&lt;=IF($K49="",TODAY(),$K49),AI$67=0),"●","")</f>
        <v/>
      </c>
      <c r="AJ49" s="50" t="str">
        <f aca="true">IF(AND($J49&lt;&gt;"",AJ$4&gt;=$J49,AJ$4&lt;=IF($K49="",TODAY(),$K49),AJ$67=0),"●","")</f>
        <v/>
      </c>
      <c r="AK49" s="50" t="str">
        <f aca="true">IF(AND($J49&lt;&gt;"",AK$4&gt;=$J49,AK$4&lt;=IF($K49="",TODAY(),$K49),AK$67=0),"●","")</f>
        <v/>
      </c>
      <c r="AL49" s="50" t="str">
        <f aca="true">IF(AND($J49&lt;&gt;"",AL$4&gt;=$J49,AL$4&lt;=IF($K49="",TODAY(),$K49),AL$67=0),"●","")</f>
        <v/>
      </c>
      <c r="AM49" s="50" t="str">
        <f aca="true">IF(AND($J49&lt;&gt;"",AM$4&gt;=$J49,AM$4&lt;=IF($K49="",TODAY(),$K49),AM$67=0),"●","")</f>
        <v/>
      </c>
      <c r="AN49" s="50" t="str">
        <f aca="true">IF(AND($J49&lt;&gt;"",AN$4&gt;=$J49,AN$4&lt;=IF($K49="",TODAY(),$K49),AN$67=0),"●","")</f>
        <v/>
      </c>
      <c r="AO49" s="50" t="str">
        <f aca="true">IF(AND($J49&lt;&gt;"",AO$4&gt;=$J49,AO$4&lt;=IF($K49="",TODAY(),$K49),AO$67=0),"●","")</f>
        <v>●</v>
      </c>
      <c r="AP49" s="50" t="str">
        <f aca="true">IF(AND($J49&lt;&gt;"",AP$4&gt;=$J49,AP$4&lt;=IF($K49="",TODAY(),$K49),AP$67=0),"●","")</f>
        <v/>
      </c>
      <c r="AQ49" s="50" t="str">
        <f aca="true">IF(AND($J49&lt;&gt;"",AQ$4&gt;=$J49,AQ$4&lt;=IF($K49="",TODAY(),$K49),AQ$67=0),"●","")</f>
        <v/>
      </c>
      <c r="AR49" s="50" t="str">
        <f aca="true">IF(AND($J49&lt;&gt;"",AR$4&gt;=$J49,AR$4&lt;=IF($K49="",TODAY(),$K49),AR$67=0),"●","")</f>
        <v/>
      </c>
      <c r="AS49" s="50" t="str">
        <f aca="true">IF(AND($J49&lt;&gt;"",AS$4&gt;=$J49,AS$4&lt;=IF($K49="",TODAY(),$K49),AS$67=0),"●","")</f>
        <v/>
      </c>
      <c r="AT49" s="50" t="str">
        <f aca="true">IF(AND($J49&lt;&gt;"",AT$4&gt;=$J49,AT$4&lt;=IF($K49="",TODAY(),$K49),AT$67=0),"●","")</f>
        <v/>
      </c>
      <c r="AU49" s="50" t="str">
        <f aca="true">IF(AND($J49&lt;&gt;"",AU$4&gt;=$J49,AU$4&lt;=IF($K49="",TODAY(),$K49),AU$67=0),"●","")</f>
        <v/>
      </c>
      <c r="AV49" s="50" t="str">
        <f aca="true">IF(AND($J49&lt;&gt;"",AV$4&gt;=$J49,AV$4&lt;=IF($K49="",TODAY(),$K49),AV$67=0),"●","")</f>
        <v/>
      </c>
      <c r="AW49" s="50" t="str">
        <f aca="true">IF(AND($J49&lt;&gt;"",AW$4&gt;=$J49,AW$4&lt;=IF($K49="",TODAY(),$K49),AW$67=0),"●","")</f>
        <v/>
      </c>
      <c r="AX49" s="51" t="s">
        <v>292</v>
      </c>
    </row>
    <row r="50" customFormat="false" ht="15" hidden="false" customHeight="false" outlineLevel="0" collapsed="false">
      <c r="A50" s="47" t="s">
        <v>293</v>
      </c>
      <c r="B50" s="47" t="s">
        <v>282</v>
      </c>
      <c r="C50" s="47" t="s">
        <v>294</v>
      </c>
      <c r="D50" s="57" t="s">
        <v>59</v>
      </c>
      <c r="E50" s="47" t="n">
        <v>2</v>
      </c>
      <c r="F50" s="47" t="n">
        <v>2</v>
      </c>
      <c r="G50" s="47" t="s">
        <v>260</v>
      </c>
      <c r="H50" s="49" t="n">
        <v>46316</v>
      </c>
      <c r="I50" s="49" t="n">
        <v>46317</v>
      </c>
      <c r="J50" s="49" t="n">
        <f aca="false">IF('Project Status'!E50="","",'Project Status'!E50)</f>
        <v>46321</v>
      </c>
      <c r="K50" s="49" t="n">
        <f aca="false">IF('Project Status'!F50="","",'Project Status'!F50)</f>
        <v>46321</v>
      </c>
      <c r="L50" s="47" t="str">
        <f aca="false">IF('Project Status'!G50="","",'Project Status'!G50)</f>
        <v>Completed</v>
      </c>
      <c r="M50" s="47" t="n">
        <f aca="false">IF(OR(K50="",I50=""),"",IF(K50&gt;=I50,NETWORKDAYS(I50,K50,Holidays!$A$2:$A$40)-1,-(NETWORKDAYS(K50,I50,Holidays!$A$2:$A$40)-1)))</f>
        <v>2</v>
      </c>
      <c r="N50" s="50" t="str">
        <f aca="true">IF(AND($J50&lt;&gt;"",N$4&gt;=$J50,N$4&lt;=IF($K50="",TODAY(),$K50),N$67=0),"●","")</f>
        <v/>
      </c>
      <c r="O50" s="50" t="str">
        <f aca="true">IF(AND($J50&lt;&gt;"",O$4&gt;=$J50,O$4&lt;=IF($K50="",TODAY(),$K50),O$67=0),"●","")</f>
        <v/>
      </c>
      <c r="P50" s="50" t="str">
        <f aca="true">IF(AND($J50&lt;&gt;"",P$4&gt;=$J50,P$4&lt;=IF($K50="",TODAY(),$K50),P$67=0),"●","")</f>
        <v/>
      </c>
      <c r="Q50" s="50" t="str">
        <f aca="true">IF(AND($J50&lt;&gt;"",Q$4&gt;=$J50,Q$4&lt;=IF($K50="",TODAY(),$K50),Q$67=0),"●","")</f>
        <v/>
      </c>
      <c r="R50" s="50" t="str">
        <f aca="true">IF(AND($J50&lt;&gt;"",R$4&gt;=$J50,R$4&lt;=IF($K50="",TODAY(),$K50),R$67=0),"●","")</f>
        <v/>
      </c>
      <c r="S50" s="50" t="str">
        <f aca="true">IF(AND($J50&lt;&gt;"",S$4&gt;=$J50,S$4&lt;=IF($K50="",TODAY(),$K50),S$67=0),"●","")</f>
        <v/>
      </c>
      <c r="T50" s="50" t="str">
        <f aca="true">IF(AND($J50&lt;&gt;"",T$4&gt;=$J50,T$4&lt;=IF($K50="",TODAY(),$K50),T$67=0),"●","")</f>
        <v/>
      </c>
      <c r="U50" s="50" t="str">
        <f aca="true">IF(AND($J50&lt;&gt;"",U$4&gt;=$J50,U$4&lt;=IF($K50="",TODAY(),$K50),U$67=0),"●","")</f>
        <v/>
      </c>
      <c r="V50" s="50" t="str">
        <f aca="true">IF(AND($J50&lt;&gt;"",V$4&gt;=$J50,V$4&lt;=IF($K50="",TODAY(),$K50),V$67=0),"●","")</f>
        <v/>
      </c>
      <c r="W50" s="50" t="str">
        <f aca="true">IF(AND($J50&lt;&gt;"",W$4&gt;=$J50,W$4&lt;=IF($K50="",TODAY(),$K50),W$67=0),"●","")</f>
        <v/>
      </c>
      <c r="X50" s="50" t="str">
        <f aca="true">IF(AND($J50&lt;&gt;"",X$4&gt;=$J50,X$4&lt;=IF($K50="",TODAY(),$K50),X$67=0),"●","")</f>
        <v/>
      </c>
      <c r="Y50" s="50" t="str">
        <f aca="true">IF(AND($J50&lt;&gt;"",Y$4&gt;=$J50,Y$4&lt;=IF($K50="",TODAY(),$K50),Y$67=0),"●","")</f>
        <v/>
      </c>
      <c r="Z50" s="50" t="str">
        <f aca="true">IF(AND($J50&lt;&gt;"",Z$4&gt;=$J50,Z$4&lt;=IF($K50="",TODAY(),$K50),Z$67=0),"●","")</f>
        <v/>
      </c>
      <c r="AA50" s="50" t="str">
        <f aca="true">IF(AND($J50&lt;&gt;"",AA$4&gt;=$J50,AA$4&lt;=IF($K50="",TODAY(),$K50),AA$67=0),"●","")</f>
        <v/>
      </c>
      <c r="AB50" s="50" t="str">
        <f aca="true">IF(AND($J50&lt;&gt;"",AB$4&gt;=$J50,AB$4&lt;=IF($K50="",TODAY(),$K50),AB$67=0),"●","")</f>
        <v/>
      </c>
      <c r="AC50" s="50" t="str">
        <f aca="true">IF(AND($J50&lt;&gt;"",AC$4&gt;=$J50,AC$4&lt;=IF($K50="",TODAY(),$K50),AC$67=0),"●","")</f>
        <v/>
      </c>
      <c r="AD50" s="50" t="str">
        <f aca="true">IF(AND($J50&lt;&gt;"",AD$4&gt;=$J50,AD$4&lt;=IF($K50="",TODAY(),$K50),AD$67=0),"●","")</f>
        <v/>
      </c>
      <c r="AE50" s="50" t="str">
        <f aca="true">IF(AND($J50&lt;&gt;"",AE$4&gt;=$J50,AE$4&lt;=IF($K50="",TODAY(),$K50),AE$67=0),"●","")</f>
        <v/>
      </c>
      <c r="AF50" s="50" t="str">
        <f aca="true">IF(AND($J50&lt;&gt;"",AF$4&gt;=$J50,AF$4&lt;=IF($K50="",TODAY(),$K50),AF$67=0),"●","")</f>
        <v/>
      </c>
      <c r="AG50" s="50" t="str">
        <f aca="true">IF(AND($J50&lt;&gt;"",AG$4&gt;=$J50,AG$4&lt;=IF($K50="",TODAY(),$K50),AG$67=0),"●","")</f>
        <v/>
      </c>
      <c r="AH50" s="50" t="str">
        <f aca="true">IF(AND($J50&lt;&gt;"",AH$4&gt;=$J50,AH$4&lt;=IF($K50="",TODAY(),$K50),AH$67=0),"●","")</f>
        <v/>
      </c>
      <c r="AI50" s="50" t="str">
        <f aca="true">IF(AND($J50&lt;&gt;"",AI$4&gt;=$J50,AI$4&lt;=IF($K50="",TODAY(),$K50),AI$67=0),"●","")</f>
        <v/>
      </c>
      <c r="AJ50" s="50" t="str">
        <f aca="true">IF(AND($J50&lt;&gt;"",AJ$4&gt;=$J50,AJ$4&lt;=IF($K50="",TODAY(),$K50),AJ$67=0),"●","")</f>
        <v/>
      </c>
      <c r="AK50" s="50" t="str">
        <f aca="true">IF(AND($J50&lt;&gt;"",AK$4&gt;=$J50,AK$4&lt;=IF($K50="",TODAY(),$K50),AK$67=0),"●","")</f>
        <v/>
      </c>
      <c r="AL50" s="50" t="str">
        <f aca="true">IF(AND($J50&lt;&gt;"",AL$4&gt;=$J50,AL$4&lt;=IF($K50="",TODAY(),$K50),AL$67=0),"●","")</f>
        <v/>
      </c>
      <c r="AM50" s="50" t="str">
        <f aca="true">IF(AND($J50&lt;&gt;"",AM$4&gt;=$J50,AM$4&lt;=IF($K50="",TODAY(),$K50),AM$67=0),"●","")</f>
        <v/>
      </c>
      <c r="AN50" s="50" t="str">
        <f aca="true">IF(AND($J50&lt;&gt;"",AN$4&gt;=$J50,AN$4&lt;=IF($K50="",TODAY(),$K50),AN$67=0),"●","")</f>
        <v/>
      </c>
      <c r="AO50" s="50" t="str">
        <f aca="true">IF(AND($J50&lt;&gt;"",AO$4&gt;=$J50,AO$4&lt;=IF($K50="",TODAY(),$K50),AO$67=0),"●","")</f>
        <v>●</v>
      </c>
      <c r="AP50" s="50" t="str">
        <f aca="true">IF(AND($J50&lt;&gt;"",AP$4&gt;=$J50,AP$4&lt;=IF($K50="",TODAY(),$K50),AP$67=0),"●","")</f>
        <v/>
      </c>
      <c r="AQ50" s="50" t="str">
        <f aca="true">IF(AND($J50&lt;&gt;"",AQ$4&gt;=$J50,AQ$4&lt;=IF($K50="",TODAY(),$K50),AQ$67=0),"●","")</f>
        <v/>
      </c>
      <c r="AR50" s="50" t="str">
        <f aca="true">IF(AND($J50&lt;&gt;"",AR$4&gt;=$J50,AR$4&lt;=IF($K50="",TODAY(),$K50),AR$67=0),"●","")</f>
        <v/>
      </c>
      <c r="AS50" s="50" t="str">
        <f aca="true">IF(AND($J50&lt;&gt;"",AS$4&gt;=$J50,AS$4&lt;=IF($K50="",TODAY(),$K50),AS$67=0),"●","")</f>
        <v/>
      </c>
      <c r="AT50" s="50" t="str">
        <f aca="true">IF(AND($J50&lt;&gt;"",AT$4&gt;=$J50,AT$4&lt;=IF($K50="",TODAY(),$K50),AT$67=0),"●","")</f>
        <v/>
      </c>
      <c r="AU50" s="50" t="str">
        <f aca="true">IF(AND($J50&lt;&gt;"",AU$4&gt;=$J50,AU$4&lt;=IF($K50="",TODAY(),$K50),AU$67=0),"●","")</f>
        <v/>
      </c>
      <c r="AV50" s="50" t="str">
        <f aca="true">IF(AND($J50&lt;&gt;"",AV$4&gt;=$J50,AV$4&lt;=IF($K50="",TODAY(),$K50),AV$67=0),"●","")</f>
        <v/>
      </c>
      <c r="AW50" s="50" t="str">
        <f aca="true">IF(AND($J50&lt;&gt;"",AW$4&gt;=$J50,AW$4&lt;=IF($K50="",TODAY(),$K50),AW$67=0),"●","")</f>
        <v/>
      </c>
      <c r="AX50" s="51" t="s">
        <v>295</v>
      </c>
    </row>
    <row r="51" customFormat="false" ht="15" hidden="false" customHeight="false" outlineLevel="0" collapsed="false">
      <c r="A51" s="47" t="s">
        <v>296</v>
      </c>
      <c r="B51" s="47" t="s">
        <v>282</v>
      </c>
      <c r="C51" s="47" t="s">
        <v>297</v>
      </c>
      <c r="D51" s="52" t="s">
        <v>37</v>
      </c>
      <c r="E51" s="47" t="n">
        <v>2</v>
      </c>
      <c r="F51" s="47" t="n">
        <v>2</v>
      </c>
      <c r="G51" s="47" t="s">
        <v>271</v>
      </c>
      <c r="H51" s="49" t="n">
        <v>46317</v>
      </c>
      <c r="I51" s="49" t="n">
        <v>46318</v>
      </c>
      <c r="J51" s="49" t="n">
        <f aca="false">IF('Project Status'!E51="","",'Project Status'!E51)</f>
        <v>46321</v>
      </c>
      <c r="K51" s="49" t="n">
        <f aca="false">IF('Project Status'!F51="","",'Project Status'!F51)</f>
        <v>46321</v>
      </c>
      <c r="L51" s="47" t="str">
        <f aca="false">IF('Project Status'!G51="","",'Project Status'!G51)</f>
        <v>Completed</v>
      </c>
      <c r="M51" s="47" t="n">
        <f aca="false">IF(OR(K51="",I51=""),"",IF(K51&gt;=I51,NETWORKDAYS(I51,K51,Holidays!$A$2:$A$40)-1,-(NETWORKDAYS(K51,I51,Holidays!$A$2:$A$40)-1)))</f>
        <v>1</v>
      </c>
      <c r="N51" s="50" t="str">
        <f aca="true">IF(AND($J51&lt;&gt;"",N$4&gt;=$J51,N$4&lt;=IF($K51="",TODAY(),$K51),N$67=0),"●","")</f>
        <v/>
      </c>
      <c r="O51" s="50" t="str">
        <f aca="true">IF(AND($J51&lt;&gt;"",O$4&gt;=$J51,O$4&lt;=IF($K51="",TODAY(),$K51),O$67=0),"●","")</f>
        <v/>
      </c>
      <c r="P51" s="50" t="str">
        <f aca="true">IF(AND($J51&lt;&gt;"",P$4&gt;=$J51,P$4&lt;=IF($K51="",TODAY(),$K51),P$67=0),"●","")</f>
        <v/>
      </c>
      <c r="Q51" s="50" t="str">
        <f aca="true">IF(AND($J51&lt;&gt;"",Q$4&gt;=$J51,Q$4&lt;=IF($K51="",TODAY(),$K51),Q$67=0),"●","")</f>
        <v/>
      </c>
      <c r="R51" s="50" t="str">
        <f aca="true">IF(AND($J51&lt;&gt;"",R$4&gt;=$J51,R$4&lt;=IF($K51="",TODAY(),$K51),R$67=0),"●","")</f>
        <v/>
      </c>
      <c r="S51" s="50" t="str">
        <f aca="true">IF(AND($J51&lt;&gt;"",S$4&gt;=$J51,S$4&lt;=IF($K51="",TODAY(),$K51),S$67=0),"●","")</f>
        <v/>
      </c>
      <c r="T51" s="50" t="str">
        <f aca="true">IF(AND($J51&lt;&gt;"",T$4&gt;=$J51,T$4&lt;=IF($K51="",TODAY(),$K51),T$67=0),"●","")</f>
        <v/>
      </c>
      <c r="U51" s="50" t="str">
        <f aca="true">IF(AND($J51&lt;&gt;"",U$4&gt;=$J51,U$4&lt;=IF($K51="",TODAY(),$K51),U$67=0),"●","")</f>
        <v/>
      </c>
      <c r="V51" s="50" t="str">
        <f aca="true">IF(AND($J51&lt;&gt;"",V$4&gt;=$J51,V$4&lt;=IF($K51="",TODAY(),$K51),V$67=0),"●","")</f>
        <v/>
      </c>
      <c r="W51" s="50" t="str">
        <f aca="true">IF(AND($J51&lt;&gt;"",W$4&gt;=$J51,W$4&lt;=IF($K51="",TODAY(),$K51),W$67=0),"●","")</f>
        <v/>
      </c>
      <c r="X51" s="50" t="str">
        <f aca="true">IF(AND($J51&lt;&gt;"",X$4&gt;=$J51,X$4&lt;=IF($K51="",TODAY(),$K51),X$67=0),"●","")</f>
        <v/>
      </c>
      <c r="Y51" s="50" t="str">
        <f aca="true">IF(AND($J51&lt;&gt;"",Y$4&gt;=$J51,Y$4&lt;=IF($K51="",TODAY(),$K51),Y$67=0),"●","")</f>
        <v/>
      </c>
      <c r="Z51" s="50" t="str">
        <f aca="true">IF(AND($J51&lt;&gt;"",Z$4&gt;=$J51,Z$4&lt;=IF($K51="",TODAY(),$K51),Z$67=0),"●","")</f>
        <v/>
      </c>
      <c r="AA51" s="50" t="str">
        <f aca="true">IF(AND($J51&lt;&gt;"",AA$4&gt;=$J51,AA$4&lt;=IF($K51="",TODAY(),$K51),AA$67=0),"●","")</f>
        <v/>
      </c>
      <c r="AB51" s="50" t="str">
        <f aca="true">IF(AND($J51&lt;&gt;"",AB$4&gt;=$J51,AB$4&lt;=IF($K51="",TODAY(),$K51),AB$67=0),"●","")</f>
        <v/>
      </c>
      <c r="AC51" s="50" t="str">
        <f aca="true">IF(AND($J51&lt;&gt;"",AC$4&gt;=$J51,AC$4&lt;=IF($K51="",TODAY(),$K51),AC$67=0),"●","")</f>
        <v/>
      </c>
      <c r="AD51" s="50" t="str">
        <f aca="true">IF(AND($J51&lt;&gt;"",AD$4&gt;=$J51,AD$4&lt;=IF($K51="",TODAY(),$K51),AD$67=0),"●","")</f>
        <v/>
      </c>
      <c r="AE51" s="50" t="str">
        <f aca="true">IF(AND($J51&lt;&gt;"",AE$4&gt;=$J51,AE$4&lt;=IF($K51="",TODAY(),$K51),AE$67=0),"●","")</f>
        <v/>
      </c>
      <c r="AF51" s="50" t="str">
        <f aca="true">IF(AND($J51&lt;&gt;"",AF$4&gt;=$J51,AF$4&lt;=IF($K51="",TODAY(),$K51),AF$67=0),"●","")</f>
        <v/>
      </c>
      <c r="AG51" s="50" t="str">
        <f aca="true">IF(AND($J51&lt;&gt;"",AG$4&gt;=$J51,AG$4&lt;=IF($K51="",TODAY(),$K51),AG$67=0),"●","")</f>
        <v/>
      </c>
      <c r="AH51" s="50" t="str">
        <f aca="true">IF(AND($J51&lt;&gt;"",AH$4&gt;=$J51,AH$4&lt;=IF($K51="",TODAY(),$K51),AH$67=0),"●","")</f>
        <v/>
      </c>
      <c r="AI51" s="50" t="str">
        <f aca="true">IF(AND($J51&lt;&gt;"",AI$4&gt;=$J51,AI$4&lt;=IF($K51="",TODAY(),$K51),AI$67=0),"●","")</f>
        <v/>
      </c>
      <c r="AJ51" s="50" t="str">
        <f aca="true">IF(AND($J51&lt;&gt;"",AJ$4&gt;=$J51,AJ$4&lt;=IF($K51="",TODAY(),$K51),AJ$67=0),"●","")</f>
        <v/>
      </c>
      <c r="AK51" s="50" t="str">
        <f aca="true">IF(AND($J51&lt;&gt;"",AK$4&gt;=$J51,AK$4&lt;=IF($K51="",TODAY(),$K51),AK$67=0),"●","")</f>
        <v/>
      </c>
      <c r="AL51" s="50" t="str">
        <f aca="true">IF(AND($J51&lt;&gt;"",AL$4&gt;=$J51,AL$4&lt;=IF($K51="",TODAY(),$K51),AL$67=0),"●","")</f>
        <v/>
      </c>
      <c r="AM51" s="50" t="str">
        <f aca="true">IF(AND($J51&lt;&gt;"",AM$4&gt;=$J51,AM$4&lt;=IF($K51="",TODAY(),$K51),AM$67=0),"●","")</f>
        <v/>
      </c>
      <c r="AN51" s="50" t="str">
        <f aca="true">IF(AND($J51&lt;&gt;"",AN$4&gt;=$J51,AN$4&lt;=IF($K51="",TODAY(),$K51),AN$67=0),"●","")</f>
        <v/>
      </c>
      <c r="AO51" s="50" t="str">
        <f aca="true">IF(AND($J51&lt;&gt;"",AO$4&gt;=$J51,AO$4&lt;=IF($K51="",TODAY(),$K51),AO$67=0),"●","")</f>
        <v>●</v>
      </c>
      <c r="AP51" s="50" t="str">
        <f aca="true">IF(AND($J51&lt;&gt;"",AP$4&gt;=$J51,AP$4&lt;=IF($K51="",TODAY(),$K51),AP$67=0),"●","")</f>
        <v/>
      </c>
      <c r="AQ51" s="50" t="str">
        <f aca="true">IF(AND($J51&lt;&gt;"",AQ$4&gt;=$J51,AQ$4&lt;=IF($K51="",TODAY(),$K51),AQ$67=0),"●","")</f>
        <v/>
      </c>
      <c r="AR51" s="50" t="str">
        <f aca="true">IF(AND($J51&lt;&gt;"",AR$4&gt;=$J51,AR$4&lt;=IF($K51="",TODAY(),$K51),AR$67=0),"●","")</f>
        <v/>
      </c>
      <c r="AS51" s="50" t="str">
        <f aca="true">IF(AND($J51&lt;&gt;"",AS$4&gt;=$J51,AS$4&lt;=IF($K51="",TODAY(),$K51),AS$67=0),"●","")</f>
        <v/>
      </c>
      <c r="AT51" s="50" t="str">
        <f aca="true">IF(AND($J51&lt;&gt;"",AT$4&gt;=$J51,AT$4&lt;=IF($K51="",TODAY(),$K51),AT$67=0),"●","")</f>
        <v/>
      </c>
      <c r="AU51" s="50" t="str">
        <f aca="true">IF(AND($J51&lt;&gt;"",AU$4&gt;=$J51,AU$4&lt;=IF($K51="",TODAY(),$K51),AU$67=0),"●","")</f>
        <v/>
      </c>
      <c r="AV51" s="50" t="str">
        <f aca="true">IF(AND($J51&lt;&gt;"",AV$4&gt;=$J51,AV$4&lt;=IF($K51="",TODAY(),$K51),AV$67=0),"●","")</f>
        <v/>
      </c>
      <c r="AW51" s="50" t="str">
        <f aca="true">IF(AND($J51&lt;&gt;"",AW$4&gt;=$J51,AW$4&lt;=IF($K51="",TODAY(),$K51),AW$67=0),"●","")</f>
        <v/>
      </c>
      <c r="AX51" s="51" t="s">
        <v>298</v>
      </c>
    </row>
    <row r="52" customFormat="false" ht="15" hidden="false" customHeight="false" outlineLevel="0" collapsed="false">
      <c r="A52" s="47" t="s">
        <v>217</v>
      </c>
      <c r="B52" s="47" t="s">
        <v>282</v>
      </c>
      <c r="C52" s="47" t="s">
        <v>299</v>
      </c>
      <c r="D52" s="54" t="s">
        <v>43</v>
      </c>
      <c r="E52" s="47" t="n">
        <v>1</v>
      </c>
      <c r="F52" s="47" t="n">
        <v>1</v>
      </c>
      <c r="G52" s="47" t="s">
        <v>300</v>
      </c>
      <c r="H52" s="49" t="n">
        <v>46321</v>
      </c>
      <c r="I52" s="49" t="n">
        <v>46321</v>
      </c>
      <c r="J52" s="49" t="n">
        <f aca="false">IF('Project Status'!E52="","",'Project Status'!E52)</f>
        <v>46321</v>
      </c>
      <c r="K52" s="49" t="n">
        <f aca="false">IF('Project Status'!F52="","",'Project Status'!F52)</f>
        <v>46321</v>
      </c>
      <c r="L52" s="47" t="str">
        <f aca="false">IF('Project Status'!G52="","",'Project Status'!G52)</f>
        <v>Completed</v>
      </c>
      <c r="M52" s="47" t="n">
        <f aca="false">IF(OR(K52="",I52=""),"",IF(K52&gt;=I52,NETWORKDAYS(I52,K52,Holidays!$A$2:$A$40)-1,-(NETWORKDAYS(K52,I52,Holidays!$A$2:$A$40)-1)))</f>
        <v>0</v>
      </c>
      <c r="N52" s="50" t="str">
        <f aca="true">IF(AND($J52&lt;&gt;"",N$4&gt;=$J52,N$4&lt;=IF($K52="",TODAY(),$K52),N$67=0),"●","")</f>
        <v/>
      </c>
      <c r="O52" s="50" t="str">
        <f aca="true">IF(AND($J52&lt;&gt;"",O$4&gt;=$J52,O$4&lt;=IF($K52="",TODAY(),$K52),O$67=0),"●","")</f>
        <v/>
      </c>
      <c r="P52" s="50" t="str">
        <f aca="true">IF(AND($J52&lt;&gt;"",P$4&gt;=$J52,P$4&lt;=IF($K52="",TODAY(),$K52),P$67=0),"●","")</f>
        <v/>
      </c>
      <c r="Q52" s="50" t="str">
        <f aca="true">IF(AND($J52&lt;&gt;"",Q$4&gt;=$J52,Q$4&lt;=IF($K52="",TODAY(),$K52),Q$67=0),"●","")</f>
        <v/>
      </c>
      <c r="R52" s="50" t="str">
        <f aca="true">IF(AND($J52&lt;&gt;"",R$4&gt;=$J52,R$4&lt;=IF($K52="",TODAY(),$K52),R$67=0),"●","")</f>
        <v/>
      </c>
      <c r="S52" s="50" t="str">
        <f aca="true">IF(AND($J52&lt;&gt;"",S$4&gt;=$J52,S$4&lt;=IF($K52="",TODAY(),$K52),S$67=0),"●","")</f>
        <v/>
      </c>
      <c r="T52" s="50" t="str">
        <f aca="true">IF(AND($J52&lt;&gt;"",T$4&gt;=$J52,T$4&lt;=IF($K52="",TODAY(),$K52),T$67=0),"●","")</f>
        <v/>
      </c>
      <c r="U52" s="50" t="str">
        <f aca="true">IF(AND($J52&lt;&gt;"",U$4&gt;=$J52,U$4&lt;=IF($K52="",TODAY(),$K52),U$67=0),"●","")</f>
        <v/>
      </c>
      <c r="V52" s="50" t="str">
        <f aca="true">IF(AND($J52&lt;&gt;"",V$4&gt;=$J52,V$4&lt;=IF($K52="",TODAY(),$K52),V$67=0),"●","")</f>
        <v/>
      </c>
      <c r="W52" s="50" t="str">
        <f aca="true">IF(AND($J52&lt;&gt;"",W$4&gt;=$J52,W$4&lt;=IF($K52="",TODAY(),$K52),W$67=0),"●","")</f>
        <v/>
      </c>
      <c r="X52" s="50" t="str">
        <f aca="true">IF(AND($J52&lt;&gt;"",X$4&gt;=$J52,X$4&lt;=IF($K52="",TODAY(),$K52),X$67=0),"●","")</f>
        <v/>
      </c>
      <c r="Y52" s="50" t="str">
        <f aca="true">IF(AND($J52&lt;&gt;"",Y$4&gt;=$J52,Y$4&lt;=IF($K52="",TODAY(),$K52),Y$67=0),"●","")</f>
        <v/>
      </c>
      <c r="Z52" s="50" t="str">
        <f aca="true">IF(AND($J52&lt;&gt;"",Z$4&gt;=$J52,Z$4&lt;=IF($K52="",TODAY(),$K52),Z$67=0),"●","")</f>
        <v/>
      </c>
      <c r="AA52" s="50" t="str">
        <f aca="true">IF(AND($J52&lt;&gt;"",AA$4&gt;=$J52,AA$4&lt;=IF($K52="",TODAY(),$K52),AA$67=0),"●","")</f>
        <v/>
      </c>
      <c r="AB52" s="50" t="str">
        <f aca="true">IF(AND($J52&lt;&gt;"",AB$4&gt;=$J52,AB$4&lt;=IF($K52="",TODAY(),$K52),AB$67=0),"●","")</f>
        <v/>
      </c>
      <c r="AC52" s="50" t="str">
        <f aca="true">IF(AND($J52&lt;&gt;"",AC$4&gt;=$J52,AC$4&lt;=IF($K52="",TODAY(),$K52),AC$67=0),"●","")</f>
        <v/>
      </c>
      <c r="AD52" s="50" t="str">
        <f aca="true">IF(AND($J52&lt;&gt;"",AD$4&gt;=$J52,AD$4&lt;=IF($K52="",TODAY(),$K52),AD$67=0),"●","")</f>
        <v/>
      </c>
      <c r="AE52" s="50" t="str">
        <f aca="true">IF(AND($J52&lt;&gt;"",AE$4&gt;=$J52,AE$4&lt;=IF($K52="",TODAY(),$K52),AE$67=0),"●","")</f>
        <v/>
      </c>
      <c r="AF52" s="50" t="str">
        <f aca="true">IF(AND($J52&lt;&gt;"",AF$4&gt;=$J52,AF$4&lt;=IF($K52="",TODAY(),$K52),AF$67=0),"●","")</f>
        <v/>
      </c>
      <c r="AG52" s="50" t="str">
        <f aca="true">IF(AND($J52&lt;&gt;"",AG$4&gt;=$J52,AG$4&lt;=IF($K52="",TODAY(),$K52),AG$67=0),"●","")</f>
        <v/>
      </c>
      <c r="AH52" s="50" t="str">
        <f aca="true">IF(AND($J52&lt;&gt;"",AH$4&gt;=$J52,AH$4&lt;=IF($K52="",TODAY(),$K52),AH$67=0),"●","")</f>
        <v/>
      </c>
      <c r="AI52" s="50" t="str">
        <f aca="true">IF(AND($J52&lt;&gt;"",AI$4&gt;=$J52,AI$4&lt;=IF($K52="",TODAY(),$K52),AI$67=0),"●","")</f>
        <v/>
      </c>
      <c r="AJ52" s="50" t="str">
        <f aca="true">IF(AND($J52&lt;&gt;"",AJ$4&gt;=$J52,AJ$4&lt;=IF($K52="",TODAY(),$K52),AJ$67=0),"●","")</f>
        <v/>
      </c>
      <c r="AK52" s="50" t="str">
        <f aca="true">IF(AND($J52&lt;&gt;"",AK$4&gt;=$J52,AK$4&lt;=IF($K52="",TODAY(),$K52),AK$67=0),"●","")</f>
        <v/>
      </c>
      <c r="AL52" s="50" t="str">
        <f aca="true">IF(AND($J52&lt;&gt;"",AL$4&gt;=$J52,AL$4&lt;=IF($K52="",TODAY(),$K52),AL$67=0),"●","")</f>
        <v/>
      </c>
      <c r="AM52" s="50" t="str">
        <f aca="true">IF(AND($J52&lt;&gt;"",AM$4&gt;=$J52,AM$4&lt;=IF($K52="",TODAY(),$K52),AM$67=0),"●","")</f>
        <v/>
      </c>
      <c r="AN52" s="50" t="str">
        <f aca="true">IF(AND($J52&lt;&gt;"",AN$4&gt;=$J52,AN$4&lt;=IF($K52="",TODAY(),$K52),AN$67=0),"●","")</f>
        <v/>
      </c>
      <c r="AO52" s="50" t="str">
        <f aca="true">IF(AND($J52&lt;&gt;"",AO$4&gt;=$J52,AO$4&lt;=IF($K52="",TODAY(),$K52),AO$67=0),"●","")</f>
        <v>●</v>
      </c>
      <c r="AP52" s="50" t="str">
        <f aca="true">IF(AND($J52&lt;&gt;"",AP$4&gt;=$J52,AP$4&lt;=IF($K52="",TODAY(),$K52),AP$67=0),"●","")</f>
        <v/>
      </c>
      <c r="AQ52" s="50" t="str">
        <f aca="true">IF(AND($J52&lt;&gt;"",AQ$4&gt;=$J52,AQ$4&lt;=IF($K52="",TODAY(),$K52),AQ$67=0),"●","")</f>
        <v/>
      </c>
      <c r="AR52" s="50" t="str">
        <f aca="true">IF(AND($J52&lt;&gt;"",AR$4&gt;=$J52,AR$4&lt;=IF($K52="",TODAY(),$K52),AR$67=0),"●","")</f>
        <v/>
      </c>
      <c r="AS52" s="50" t="str">
        <f aca="true">IF(AND($J52&lt;&gt;"",AS$4&gt;=$J52,AS$4&lt;=IF($K52="",TODAY(),$K52),AS$67=0),"●","")</f>
        <v/>
      </c>
      <c r="AT52" s="50" t="str">
        <f aca="true">IF(AND($J52&lt;&gt;"",AT$4&gt;=$J52,AT$4&lt;=IF($K52="",TODAY(),$K52),AT$67=0),"●","")</f>
        <v/>
      </c>
      <c r="AU52" s="50" t="str">
        <f aca="true">IF(AND($J52&lt;&gt;"",AU$4&gt;=$J52,AU$4&lt;=IF($K52="",TODAY(),$K52),AU$67=0),"●","")</f>
        <v/>
      </c>
      <c r="AV52" s="50" t="str">
        <f aca="true">IF(AND($J52&lt;&gt;"",AV$4&gt;=$J52,AV$4&lt;=IF($K52="",TODAY(),$K52),AV$67=0),"●","")</f>
        <v/>
      </c>
      <c r="AW52" s="50" t="str">
        <f aca="true">IF(AND($J52&lt;&gt;"",AW$4&gt;=$J52,AW$4&lt;=IF($K52="",TODAY(),$K52),AW$67=0),"●","")</f>
        <v/>
      </c>
      <c r="AX52" s="51" t="s">
        <v>301</v>
      </c>
    </row>
    <row r="53" customFormat="false" ht="15" hidden="false" customHeight="false" outlineLevel="0" collapsed="false">
      <c r="A53" s="47" t="s">
        <v>302</v>
      </c>
      <c r="B53" s="47" t="s">
        <v>282</v>
      </c>
      <c r="C53" s="47" t="s">
        <v>303</v>
      </c>
      <c r="D53" s="56" t="s">
        <v>56</v>
      </c>
      <c r="E53" s="47" t="n">
        <v>1</v>
      </c>
      <c r="F53" s="47" t="n">
        <v>1</v>
      </c>
      <c r="G53" s="47" t="s">
        <v>217</v>
      </c>
      <c r="H53" s="49" t="n">
        <v>46322</v>
      </c>
      <c r="I53" s="49" t="n">
        <v>46322</v>
      </c>
      <c r="J53" s="49" t="n">
        <f aca="false">IF('Project Status'!E53="","",'Project Status'!E53)</f>
        <v>46321</v>
      </c>
      <c r="K53" s="49" t="n">
        <f aca="false">IF('Project Status'!F53="","",'Project Status'!F53)</f>
        <v>46321</v>
      </c>
      <c r="L53" s="47" t="str">
        <f aca="false">IF('Project Status'!G53="","",'Project Status'!G53)</f>
        <v>Completed</v>
      </c>
      <c r="M53" s="47" t="n">
        <f aca="false">IF(OR(K53="",I53=""),"",IF(K53&gt;=I53,NETWORKDAYS(I53,K53,Holidays!$A$2:$A$40)-1,-(NETWORKDAYS(K53,I53,Holidays!$A$2:$A$40)-1)))</f>
        <v>-1</v>
      </c>
      <c r="N53" s="50" t="str">
        <f aca="true">IF(AND($J53&lt;&gt;"",N$4&gt;=$J53,N$4&lt;=IF($K53="",TODAY(),$K53),N$67=0),"●","")</f>
        <v/>
      </c>
      <c r="O53" s="50" t="str">
        <f aca="true">IF(AND($J53&lt;&gt;"",O$4&gt;=$J53,O$4&lt;=IF($K53="",TODAY(),$K53),O$67=0),"●","")</f>
        <v/>
      </c>
      <c r="P53" s="50" t="str">
        <f aca="true">IF(AND($J53&lt;&gt;"",P$4&gt;=$J53,P$4&lt;=IF($K53="",TODAY(),$K53),P$67=0),"●","")</f>
        <v/>
      </c>
      <c r="Q53" s="50" t="str">
        <f aca="true">IF(AND($J53&lt;&gt;"",Q$4&gt;=$J53,Q$4&lt;=IF($K53="",TODAY(),$K53),Q$67=0),"●","")</f>
        <v/>
      </c>
      <c r="R53" s="50" t="str">
        <f aca="true">IF(AND($J53&lt;&gt;"",R$4&gt;=$J53,R$4&lt;=IF($K53="",TODAY(),$K53),R$67=0),"●","")</f>
        <v/>
      </c>
      <c r="S53" s="50" t="str">
        <f aca="true">IF(AND($J53&lt;&gt;"",S$4&gt;=$J53,S$4&lt;=IF($K53="",TODAY(),$K53),S$67=0),"●","")</f>
        <v/>
      </c>
      <c r="T53" s="50" t="str">
        <f aca="true">IF(AND($J53&lt;&gt;"",T$4&gt;=$J53,T$4&lt;=IF($K53="",TODAY(),$K53),T$67=0),"●","")</f>
        <v/>
      </c>
      <c r="U53" s="50" t="str">
        <f aca="true">IF(AND($J53&lt;&gt;"",U$4&gt;=$J53,U$4&lt;=IF($K53="",TODAY(),$K53),U$67=0),"●","")</f>
        <v/>
      </c>
      <c r="V53" s="50" t="str">
        <f aca="true">IF(AND($J53&lt;&gt;"",V$4&gt;=$J53,V$4&lt;=IF($K53="",TODAY(),$K53),V$67=0),"●","")</f>
        <v/>
      </c>
      <c r="W53" s="50" t="str">
        <f aca="true">IF(AND($J53&lt;&gt;"",W$4&gt;=$J53,W$4&lt;=IF($K53="",TODAY(),$K53),W$67=0),"●","")</f>
        <v/>
      </c>
      <c r="X53" s="50" t="str">
        <f aca="true">IF(AND($J53&lt;&gt;"",X$4&gt;=$J53,X$4&lt;=IF($K53="",TODAY(),$K53),X$67=0),"●","")</f>
        <v/>
      </c>
      <c r="Y53" s="50" t="str">
        <f aca="true">IF(AND($J53&lt;&gt;"",Y$4&gt;=$J53,Y$4&lt;=IF($K53="",TODAY(),$K53),Y$67=0),"●","")</f>
        <v/>
      </c>
      <c r="Z53" s="50" t="str">
        <f aca="true">IF(AND($J53&lt;&gt;"",Z$4&gt;=$J53,Z$4&lt;=IF($K53="",TODAY(),$K53),Z$67=0),"●","")</f>
        <v/>
      </c>
      <c r="AA53" s="50" t="str">
        <f aca="true">IF(AND($J53&lt;&gt;"",AA$4&gt;=$J53,AA$4&lt;=IF($K53="",TODAY(),$K53),AA$67=0),"●","")</f>
        <v/>
      </c>
      <c r="AB53" s="50" t="str">
        <f aca="true">IF(AND($J53&lt;&gt;"",AB$4&gt;=$J53,AB$4&lt;=IF($K53="",TODAY(),$K53),AB$67=0),"●","")</f>
        <v/>
      </c>
      <c r="AC53" s="50" t="str">
        <f aca="true">IF(AND($J53&lt;&gt;"",AC$4&gt;=$J53,AC$4&lt;=IF($K53="",TODAY(),$K53),AC$67=0),"●","")</f>
        <v/>
      </c>
      <c r="AD53" s="50" t="str">
        <f aca="true">IF(AND($J53&lt;&gt;"",AD$4&gt;=$J53,AD$4&lt;=IF($K53="",TODAY(),$K53),AD$67=0),"●","")</f>
        <v/>
      </c>
      <c r="AE53" s="50" t="str">
        <f aca="true">IF(AND($J53&lt;&gt;"",AE$4&gt;=$J53,AE$4&lt;=IF($K53="",TODAY(),$K53),AE$67=0),"●","")</f>
        <v/>
      </c>
      <c r="AF53" s="50" t="str">
        <f aca="true">IF(AND($J53&lt;&gt;"",AF$4&gt;=$J53,AF$4&lt;=IF($K53="",TODAY(),$K53),AF$67=0),"●","")</f>
        <v/>
      </c>
      <c r="AG53" s="50" t="str">
        <f aca="true">IF(AND($J53&lt;&gt;"",AG$4&gt;=$J53,AG$4&lt;=IF($K53="",TODAY(),$K53),AG$67=0),"●","")</f>
        <v/>
      </c>
      <c r="AH53" s="50" t="str">
        <f aca="true">IF(AND($J53&lt;&gt;"",AH$4&gt;=$J53,AH$4&lt;=IF($K53="",TODAY(),$K53),AH$67=0),"●","")</f>
        <v/>
      </c>
      <c r="AI53" s="50" t="str">
        <f aca="true">IF(AND($J53&lt;&gt;"",AI$4&gt;=$J53,AI$4&lt;=IF($K53="",TODAY(),$K53),AI$67=0),"●","")</f>
        <v/>
      </c>
      <c r="AJ53" s="50" t="str">
        <f aca="true">IF(AND($J53&lt;&gt;"",AJ$4&gt;=$J53,AJ$4&lt;=IF($K53="",TODAY(),$K53),AJ$67=0),"●","")</f>
        <v/>
      </c>
      <c r="AK53" s="50" t="str">
        <f aca="true">IF(AND($J53&lt;&gt;"",AK$4&gt;=$J53,AK$4&lt;=IF($K53="",TODAY(),$K53),AK$67=0),"●","")</f>
        <v/>
      </c>
      <c r="AL53" s="50" t="str">
        <f aca="true">IF(AND($J53&lt;&gt;"",AL$4&gt;=$J53,AL$4&lt;=IF($K53="",TODAY(),$K53),AL$67=0),"●","")</f>
        <v/>
      </c>
      <c r="AM53" s="50" t="str">
        <f aca="true">IF(AND($J53&lt;&gt;"",AM$4&gt;=$J53,AM$4&lt;=IF($K53="",TODAY(),$K53),AM$67=0),"●","")</f>
        <v/>
      </c>
      <c r="AN53" s="50" t="str">
        <f aca="true">IF(AND($J53&lt;&gt;"",AN$4&gt;=$J53,AN$4&lt;=IF($K53="",TODAY(),$K53),AN$67=0),"●","")</f>
        <v/>
      </c>
      <c r="AO53" s="50" t="str">
        <f aca="true">IF(AND($J53&lt;&gt;"",AO$4&gt;=$J53,AO$4&lt;=IF($K53="",TODAY(),$K53),AO$67=0),"●","")</f>
        <v>●</v>
      </c>
      <c r="AP53" s="50" t="str">
        <f aca="true">IF(AND($J53&lt;&gt;"",AP$4&gt;=$J53,AP$4&lt;=IF($K53="",TODAY(),$K53),AP$67=0),"●","")</f>
        <v/>
      </c>
      <c r="AQ53" s="50" t="str">
        <f aca="true">IF(AND($J53&lt;&gt;"",AQ$4&gt;=$J53,AQ$4&lt;=IF($K53="",TODAY(),$K53),AQ$67=0),"●","")</f>
        <v/>
      </c>
      <c r="AR53" s="50" t="str">
        <f aca="true">IF(AND($J53&lt;&gt;"",AR$4&gt;=$J53,AR$4&lt;=IF($K53="",TODAY(),$K53),AR$67=0),"●","")</f>
        <v/>
      </c>
      <c r="AS53" s="50" t="str">
        <f aca="true">IF(AND($J53&lt;&gt;"",AS$4&gt;=$J53,AS$4&lt;=IF($K53="",TODAY(),$K53),AS$67=0),"●","")</f>
        <v/>
      </c>
      <c r="AT53" s="50" t="str">
        <f aca="true">IF(AND($J53&lt;&gt;"",AT$4&gt;=$J53,AT$4&lt;=IF($K53="",TODAY(),$K53),AT$67=0),"●","")</f>
        <v/>
      </c>
      <c r="AU53" s="50" t="str">
        <f aca="true">IF(AND($J53&lt;&gt;"",AU$4&gt;=$J53,AU$4&lt;=IF($K53="",TODAY(),$K53),AU$67=0),"●","")</f>
        <v/>
      </c>
      <c r="AV53" s="50" t="str">
        <f aca="true">IF(AND($J53&lt;&gt;"",AV$4&gt;=$J53,AV$4&lt;=IF($K53="",TODAY(),$K53),AV$67=0),"●","")</f>
        <v/>
      </c>
      <c r="AW53" s="50" t="str">
        <f aca="true">IF(AND($J53&lt;&gt;"",AW$4&gt;=$J53,AW$4&lt;=IF($K53="",TODAY(),$K53),AW$67=0),"●","")</f>
        <v/>
      </c>
      <c r="AX53" s="51" t="s">
        <v>304</v>
      </c>
    </row>
    <row r="54" customFormat="false" ht="15" hidden="false" customHeight="false" outlineLevel="0" collapsed="false">
      <c r="A54" s="47" t="s">
        <v>305</v>
      </c>
      <c r="B54" s="47" t="s">
        <v>282</v>
      </c>
      <c r="C54" s="47" t="s">
        <v>306</v>
      </c>
      <c r="D54" s="48" t="s">
        <v>33</v>
      </c>
      <c r="E54" s="47" t="n">
        <v>1</v>
      </c>
      <c r="F54" s="47" t="n">
        <v>1</v>
      </c>
      <c r="G54" s="47" t="s">
        <v>217</v>
      </c>
      <c r="H54" s="49" t="n">
        <v>46322</v>
      </c>
      <c r="I54" s="49" t="n">
        <v>46322</v>
      </c>
      <c r="J54" s="49" t="n">
        <f aca="false">IF('Project Status'!E54="","",'Project Status'!E54)</f>
        <v>46321</v>
      </c>
      <c r="K54" s="49" t="n">
        <f aca="false">IF('Project Status'!F54="","",'Project Status'!F54)</f>
        <v>46321</v>
      </c>
      <c r="L54" s="47" t="str">
        <f aca="false">IF('Project Status'!G54="","",'Project Status'!G54)</f>
        <v>Completed</v>
      </c>
      <c r="M54" s="47" t="n">
        <f aca="false">IF(OR(K54="",I54=""),"",IF(K54&gt;=I54,NETWORKDAYS(I54,K54,Holidays!$A$2:$A$40)-1,-(NETWORKDAYS(K54,I54,Holidays!$A$2:$A$40)-1)))</f>
        <v>-1</v>
      </c>
      <c r="N54" s="50" t="str">
        <f aca="true">IF(AND($J54&lt;&gt;"",N$4&gt;=$J54,N$4&lt;=IF($K54="",TODAY(),$K54),N$67=0),"●","")</f>
        <v/>
      </c>
      <c r="O54" s="50" t="str">
        <f aca="true">IF(AND($J54&lt;&gt;"",O$4&gt;=$J54,O$4&lt;=IF($K54="",TODAY(),$K54),O$67=0),"●","")</f>
        <v/>
      </c>
      <c r="P54" s="50" t="str">
        <f aca="true">IF(AND($J54&lt;&gt;"",P$4&gt;=$J54,P$4&lt;=IF($K54="",TODAY(),$K54),P$67=0),"●","")</f>
        <v/>
      </c>
      <c r="Q54" s="50" t="str">
        <f aca="true">IF(AND($J54&lt;&gt;"",Q$4&gt;=$J54,Q$4&lt;=IF($K54="",TODAY(),$K54),Q$67=0),"●","")</f>
        <v/>
      </c>
      <c r="R54" s="50" t="str">
        <f aca="true">IF(AND($J54&lt;&gt;"",R$4&gt;=$J54,R$4&lt;=IF($K54="",TODAY(),$K54),R$67=0),"●","")</f>
        <v/>
      </c>
      <c r="S54" s="50" t="str">
        <f aca="true">IF(AND($J54&lt;&gt;"",S$4&gt;=$J54,S$4&lt;=IF($K54="",TODAY(),$K54),S$67=0),"●","")</f>
        <v/>
      </c>
      <c r="T54" s="50" t="str">
        <f aca="true">IF(AND($J54&lt;&gt;"",T$4&gt;=$J54,T$4&lt;=IF($K54="",TODAY(),$K54),T$67=0),"●","")</f>
        <v/>
      </c>
      <c r="U54" s="50" t="str">
        <f aca="true">IF(AND($J54&lt;&gt;"",U$4&gt;=$J54,U$4&lt;=IF($K54="",TODAY(),$K54),U$67=0),"●","")</f>
        <v/>
      </c>
      <c r="V54" s="50" t="str">
        <f aca="true">IF(AND($J54&lt;&gt;"",V$4&gt;=$J54,V$4&lt;=IF($K54="",TODAY(),$K54),V$67=0),"●","")</f>
        <v/>
      </c>
      <c r="W54" s="50" t="str">
        <f aca="true">IF(AND($J54&lt;&gt;"",W$4&gt;=$J54,W$4&lt;=IF($K54="",TODAY(),$K54),W$67=0),"●","")</f>
        <v/>
      </c>
      <c r="X54" s="50" t="str">
        <f aca="true">IF(AND($J54&lt;&gt;"",X$4&gt;=$J54,X$4&lt;=IF($K54="",TODAY(),$K54),X$67=0),"●","")</f>
        <v/>
      </c>
      <c r="Y54" s="50" t="str">
        <f aca="true">IF(AND($J54&lt;&gt;"",Y$4&gt;=$J54,Y$4&lt;=IF($K54="",TODAY(),$K54),Y$67=0),"●","")</f>
        <v/>
      </c>
      <c r="Z54" s="50" t="str">
        <f aca="true">IF(AND($J54&lt;&gt;"",Z$4&gt;=$J54,Z$4&lt;=IF($K54="",TODAY(),$K54),Z$67=0),"●","")</f>
        <v/>
      </c>
      <c r="AA54" s="50" t="str">
        <f aca="true">IF(AND($J54&lt;&gt;"",AA$4&gt;=$J54,AA$4&lt;=IF($K54="",TODAY(),$K54),AA$67=0),"●","")</f>
        <v/>
      </c>
      <c r="AB54" s="50" t="str">
        <f aca="true">IF(AND($J54&lt;&gt;"",AB$4&gt;=$J54,AB$4&lt;=IF($K54="",TODAY(),$K54),AB$67=0),"●","")</f>
        <v/>
      </c>
      <c r="AC54" s="50" t="str">
        <f aca="true">IF(AND($J54&lt;&gt;"",AC$4&gt;=$J54,AC$4&lt;=IF($K54="",TODAY(),$K54),AC$67=0),"●","")</f>
        <v/>
      </c>
      <c r="AD54" s="50" t="str">
        <f aca="true">IF(AND($J54&lt;&gt;"",AD$4&gt;=$J54,AD$4&lt;=IF($K54="",TODAY(),$K54),AD$67=0),"●","")</f>
        <v/>
      </c>
      <c r="AE54" s="50" t="str">
        <f aca="true">IF(AND($J54&lt;&gt;"",AE$4&gt;=$J54,AE$4&lt;=IF($K54="",TODAY(),$K54),AE$67=0),"●","")</f>
        <v/>
      </c>
      <c r="AF54" s="50" t="str">
        <f aca="true">IF(AND($J54&lt;&gt;"",AF$4&gt;=$J54,AF$4&lt;=IF($K54="",TODAY(),$K54),AF$67=0),"●","")</f>
        <v/>
      </c>
      <c r="AG54" s="50" t="str">
        <f aca="true">IF(AND($J54&lt;&gt;"",AG$4&gt;=$J54,AG$4&lt;=IF($K54="",TODAY(),$K54),AG$67=0),"●","")</f>
        <v/>
      </c>
      <c r="AH54" s="50" t="str">
        <f aca="true">IF(AND($J54&lt;&gt;"",AH$4&gt;=$J54,AH$4&lt;=IF($K54="",TODAY(),$K54),AH$67=0),"●","")</f>
        <v/>
      </c>
      <c r="AI54" s="50" t="str">
        <f aca="true">IF(AND($J54&lt;&gt;"",AI$4&gt;=$J54,AI$4&lt;=IF($K54="",TODAY(),$K54),AI$67=0),"●","")</f>
        <v/>
      </c>
      <c r="AJ54" s="50" t="str">
        <f aca="true">IF(AND($J54&lt;&gt;"",AJ$4&gt;=$J54,AJ$4&lt;=IF($K54="",TODAY(),$K54),AJ$67=0),"●","")</f>
        <v/>
      </c>
      <c r="AK54" s="50" t="str">
        <f aca="true">IF(AND($J54&lt;&gt;"",AK$4&gt;=$J54,AK$4&lt;=IF($K54="",TODAY(),$K54),AK$67=0),"●","")</f>
        <v/>
      </c>
      <c r="AL54" s="50" t="str">
        <f aca="true">IF(AND($J54&lt;&gt;"",AL$4&gt;=$J54,AL$4&lt;=IF($K54="",TODAY(),$K54),AL$67=0),"●","")</f>
        <v/>
      </c>
      <c r="AM54" s="50" t="str">
        <f aca="true">IF(AND($J54&lt;&gt;"",AM$4&gt;=$J54,AM$4&lt;=IF($K54="",TODAY(),$K54),AM$67=0),"●","")</f>
        <v/>
      </c>
      <c r="AN54" s="50" t="str">
        <f aca="true">IF(AND($J54&lt;&gt;"",AN$4&gt;=$J54,AN$4&lt;=IF($K54="",TODAY(),$K54),AN$67=0),"●","")</f>
        <v/>
      </c>
      <c r="AO54" s="50" t="str">
        <f aca="true">IF(AND($J54&lt;&gt;"",AO$4&gt;=$J54,AO$4&lt;=IF($K54="",TODAY(),$K54),AO$67=0),"●","")</f>
        <v>●</v>
      </c>
      <c r="AP54" s="50" t="str">
        <f aca="true">IF(AND($J54&lt;&gt;"",AP$4&gt;=$J54,AP$4&lt;=IF($K54="",TODAY(),$K54),AP$67=0),"●","")</f>
        <v/>
      </c>
      <c r="AQ54" s="50" t="str">
        <f aca="true">IF(AND($J54&lt;&gt;"",AQ$4&gt;=$J54,AQ$4&lt;=IF($K54="",TODAY(),$K54),AQ$67=0),"●","")</f>
        <v/>
      </c>
      <c r="AR54" s="50" t="str">
        <f aca="true">IF(AND($J54&lt;&gt;"",AR$4&gt;=$J54,AR$4&lt;=IF($K54="",TODAY(),$K54),AR$67=0),"●","")</f>
        <v/>
      </c>
      <c r="AS54" s="50" t="str">
        <f aca="true">IF(AND($J54&lt;&gt;"",AS$4&gt;=$J54,AS$4&lt;=IF($K54="",TODAY(),$K54),AS$67=0),"●","")</f>
        <v/>
      </c>
      <c r="AT54" s="50" t="str">
        <f aca="true">IF(AND($J54&lt;&gt;"",AT$4&gt;=$J54,AT$4&lt;=IF($K54="",TODAY(),$K54),AT$67=0),"●","")</f>
        <v/>
      </c>
      <c r="AU54" s="50" t="str">
        <f aca="true">IF(AND($J54&lt;&gt;"",AU$4&gt;=$J54,AU$4&lt;=IF($K54="",TODAY(),$K54),AU$67=0),"●","")</f>
        <v/>
      </c>
      <c r="AV54" s="50" t="str">
        <f aca="true">IF(AND($J54&lt;&gt;"",AV$4&gt;=$J54,AV$4&lt;=IF($K54="",TODAY(),$K54),AV$67=0),"●","")</f>
        <v/>
      </c>
      <c r="AW54" s="50" t="str">
        <f aca="true">IF(AND($J54&lt;&gt;"",AW$4&gt;=$J54,AW$4&lt;=IF($K54="",TODAY(),$K54),AW$67=0),"●","")</f>
        <v/>
      </c>
      <c r="AX54" s="51" t="s">
        <v>307</v>
      </c>
    </row>
    <row r="55" customFormat="false" ht="15" hidden="false" customHeight="false" outlineLevel="0" collapsed="false">
      <c r="A55" s="47" t="s">
        <v>308</v>
      </c>
      <c r="B55" s="47" t="s">
        <v>282</v>
      </c>
      <c r="C55" s="47" t="s">
        <v>309</v>
      </c>
      <c r="D55" s="54" t="s">
        <v>43</v>
      </c>
      <c r="E55" s="47" t="n">
        <v>1</v>
      </c>
      <c r="F55" s="47" t="n">
        <v>1</v>
      </c>
      <c r="G55" s="47" t="s">
        <v>310</v>
      </c>
      <c r="H55" s="49" t="n">
        <v>46323</v>
      </c>
      <c r="I55" s="49" t="n">
        <v>46323</v>
      </c>
      <c r="J55" s="49" t="n">
        <f aca="false">IF('Project Status'!E55="","",'Project Status'!E55)</f>
        <v>46321</v>
      </c>
      <c r="K55" s="49" t="n">
        <f aca="false">IF('Project Status'!F55="","",'Project Status'!F55)</f>
        <v>46321</v>
      </c>
      <c r="L55" s="47" t="str">
        <f aca="false">IF('Project Status'!G55="","",'Project Status'!G55)</f>
        <v>Completed</v>
      </c>
      <c r="M55" s="47" t="n">
        <f aca="false">IF(OR(K55="",I55=""),"",IF(K55&gt;=I55,NETWORKDAYS(I55,K55,Holidays!$A$2:$A$40)-1,-(NETWORKDAYS(K55,I55,Holidays!$A$2:$A$40)-1)))</f>
        <v>-2</v>
      </c>
      <c r="N55" s="50" t="str">
        <f aca="true">IF(AND($J55&lt;&gt;"",N$4&gt;=$J55,N$4&lt;=IF($K55="",TODAY(),$K55),N$67=0),"●","")</f>
        <v/>
      </c>
      <c r="O55" s="50" t="str">
        <f aca="true">IF(AND($J55&lt;&gt;"",O$4&gt;=$J55,O$4&lt;=IF($K55="",TODAY(),$K55),O$67=0),"●","")</f>
        <v/>
      </c>
      <c r="P55" s="50" t="str">
        <f aca="true">IF(AND($J55&lt;&gt;"",P$4&gt;=$J55,P$4&lt;=IF($K55="",TODAY(),$K55),P$67=0),"●","")</f>
        <v/>
      </c>
      <c r="Q55" s="50" t="str">
        <f aca="true">IF(AND($J55&lt;&gt;"",Q$4&gt;=$J55,Q$4&lt;=IF($K55="",TODAY(),$K55),Q$67=0),"●","")</f>
        <v/>
      </c>
      <c r="R55" s="50" t="str">
        <f aca="true">IF(AND($J55&lt;&gt;"",R$4&gt;=$J55,R$4&lt;=IF($K55="",TODAY(),$K55),R$67=0),"●","")</f>
        <v/>
      </c>
      <c r="S55" s="50" t="str">
        <f aca="true">IF(AND($J55&lt;&gt;"",S$4&gt;=$J55,S$4&lt;=IF($K55="",TODAY(),$K55),S$67=0),"●","")</f>
        <v/>
      </c>
      <c r="T55" s="50" t="str">
        <f aca="true">IF(AND($J55&lt;&gt;"",T$4&gt;=$J55,T$4&lt;=IF($K55="",TODAY(),$K55),T$67=0),"●","")</f>
        <v/>
      </c>
      <c r="U55" s="50" t="str">
        <f aca="true">IF(AND($J55&lt;&gt;"",U$4&gt;=$J55,U$4&lt;=IF($K55="",TODAY(),$K55),U$67=0),"●","")</f>
        <v/>
      </c>
      <c r="V55" s="50" t="str">
        <f aca="true">IF(AND($J55&lt;&gt;"",V$4&gt;=$J55,V$4&lt;=IF($K55="",TODAY(),$K55),V$67=0),"●","")</f>
        <v/>
      </c>
      <c r="W55" s="50" t="str">
        <f aca="true">IF(AND($J55&lt;&gt;"",W$4&gt;=$J55,W$4&lt;=IF($K55="",TODAY(),$K55),W$67=0),"●","")</f>
        <v/>
      </c>
      <c r="X55" s="50" t="str">
        <f aca="true">IF(AND($J55&lt;&gt;"",X$4&gt;=$J55,X$4&lt;=IF($K55="",TODAY(),$K55),X$67=0),"●","")</f>
        <v/>
      </c>
      <c r="Y55" s="50" t="str">
        <f aca="true">IF(AND($J55&lt;&gt;"",Y$4&gt;=$J55,Y$4&lt;=IF($K55="",TODAY(),$K55),Y$67=0),"●","")</f>
        <v/>
      </c>
      <c r="Z55" s="50" t="str">
        <f aca="true">IF(AND($J55&lt;&gt;"",Z$4&gt;=$J55,Z$4&lt;=IF($K55="",TODAY(),$K55),Z$67=0),"●","")</f>
        <v/>
      </c>
      <c r="AA55" s="50" t="str">
        <f aca="true">IF(AND($J55&lt;&gt;"",AA$4&gt;=$J55,AA$4&lt;=IF($K55="",TODAY(),$K55),AA$67=0),"●","")</f>
        <v/>
      </c>
      <c r="AB55" s="50" t="str">
        <f aca="true">IF(AND($J55&lt;&gt;"",AB$4&gt;=$J55,AB$4&lt;=IF($K55="",TODAY(),$K55),AB$67=0),"●","")</f>
        <v/>
      </c>
      <c r="AC55" s="50" t="str">
        <f aca="true">IF(AND($J55&lt;&gt;"",AC$4&gt;=$J55,AC$4&lt;=IF($K55="",TODAY(),$K55),AC$67=0),"●","")</f>
        <v/>
      </c>
      <c r="AD55" s="50" t="str">
        <f aca="true">IF(AND($J55&lt;&gt;"",AD$4&gt;=$J55,AD$4&lt;=IF($K55="",TODAY(),$K55),AD$67=0),"●","")</f>
        <v/>
      </c>
      <c r="AE55" s="50" t="str">
        <f aca="true">IF(AND($J55&lt;&gt;"",AE$4&gt;=$J55,AE$4&lt;=IF($K55="",TODAY(),$K55),AE$67=0),"●","")</f>
        <v/>
      </c>
      <c r="AF55" s="50" t="str">
        <f aca="true">IF(AND($J55&lt;&gt;"",AF$4&gt;=$J55,AF$4&lt;=IF($K55="",TODAY(),$K55),AF$67=0),"●","")</f>
        <v/>
      </c>
      <c r="AG55" s="50" t="str">
        <f aca="true">IF(AND($J55&lt;&gt;"",AG$4&gt;=$J55,AG$4&lt;=IF($K55="",TODAY(),$K55),AG$67=0),"●","")</f>
        <v/>
      </c>
      <c r="AH55" s="50" t="str">
        <f aca="true">IF(AND($J55&lt;&gt;"",AH$4&gt;=$J55,AH$4&lt;=IF($K55="",TODAY(),$K55),AH$67=0),"●","")</f>
        <v/>
      </c>
      <c r="AI55" s="50" t="str">
        <f aca="true">IF(AND($J55&lt;&gt;"",AI$4&gt;=$J55,AI$4&lt;=IF($K55="",TODAY(),$K55),AI$67=0),"●","")</f>
        <v/>
      </c>
      <c r="AJ55" s="50" t="str">
        <f aca="true">IF(AND($J55&lt;&gt;"",AJ$4&gt;=$J55,AJ$4&lt;=IF($K55="",TODAY(),$K55),AJ$67=0),"●","")</f>
        <v/>
      </c>
      <c r="AK55" s="50" t="str">
        <f aca="true">IF(AND($J55&lt;&gt;"",AK$4&gt;=$J55,AK$4&lt;=IF($K55="",TODAY(),$K55),AK$67=0),"●","")</f>
        <v/>
      </c>
      <c r="AL55" s="50" t="str">
        <f aca="true">IF(AND($J55&lt;&gt;"",AL$4&gt;=$J55,AL$4&lt;=IF($K55="",TODAY(),$K55),AL$67=0),"●","")</f>
        <v/>
      </c>
      <c r="AM55" s="50" t="str">
        <f aca="true">IF(AND($J55&lt;&gt;"",AM$4&gt;=$J55,AM$4&lt;=IF($K55="",TODAY(),$K55),AM$67=0),"●","")</f>
        <v/>
      </c>
      <c r="AN55" s="50" t="str">
        <f aca="true">IF(AND($J55&lt;&gt;"",AN$4&gt;=$J55,AN$4&lt;=IF($K55="",TODAY(),$K55),AN$67=0),"●","")</f>
        <v/>
      </c>
      <c r="AO55" s="50" t="str">
        <f aca="true">IF(AND($J55&lt;&gt;"",AO$4&gt;=$J55,AO$4&lt;=IF($K55="",TODAY(),$K55),AO$67=0),"●","")</f>
        <v>●</v>
      </c>
      <c r="AP55" s="50" t="str">
        <f aca="true">IF(AND($J55&lt;&gt;"",AP$4&gt;=$J55,AP$4&lt;=IF($K55="",TODAY(),$K55),AP$67=0),"●","")</f>
        <v/>
      </c>
      <c r="AQ55" s="50" t="str">
        <f aca="true">IF(AND($J55&lt;&gt;"",AQ$4&gt;=$J55,AQ$4&lt;=IF($K55="",TODAY(),$K55),AQ$67=0),"●","")</f>
        <v/>
      </c>
      <c r="AR55" s="50" t="str">
        <f aca="true">IF(AND($J55&lt;&gt;"",AR$4&gt;=$J55,AR$4&lt;=IF($K55="",TODAY(),$K55),AR$67=0),"●","")</f>
        <v/>
      </c>
      <c r="AS55" s="50" t="str">
        <f aca="true">IF(AND($J55&lt;&gt;"",AS$4&gt;=$J55,AS$4&lt;=IF($K55="",TODAY(),$K55),AS$67=0),"●","")</f>
        <v/>
      </c>
      <c r="AT55" s="50" t="str">
        <f aca="true">IF(AND($J55&lt;&gt;"",AT$4&gt;=$J55,AT$4&lt;=IF($K55="",TODAY(),$K55),AT$67=0),"●","")</f>
        <v/>
      </c>
      <c r="AU55" s="50" t="str">
        <f aca="true">IF(AND($J55&lt;&gt;"",AU$4&gt;=$J55,AU$4&lt;=IF($K55="",TODAY(),$K55),AU$67=0),"●","")</f>
        <v/>
      </c>
      <c r="AV55" s="50" t="str">
        <f aca="true">IF(AND($J55&lt;&gt;"",AV$4&gt;=$J55,AV$4&lt;=IF($K55="",TODAY(),$K55),AV$67=0),"●","")</f>
        <v/>
      </c>
      <c r="AW55" s="50" t="str">
        <f aca="true">IF(AND($J55&lt;&gt;"",AW$4&gt;=$J55,AW$4&lt;=IF($K55="",TODAY(),$K55),AW$67=0),"●","")</f>
        <v/>
      </c>
      <c r="AX55" s="51" t="s">
        <v>311</v>
      </c>
    </row>
    <row r="56" customFormat="false" ht="15" hidden="false" customHeight="false" outlineLevel="0" collapsed="false">
      <c r="A56" s="47" t="s">
        <v>312</v>
      </c>
      <c r="B56" s="47" t="s">
        <v>282</v>
      </c>
      <c r="C56" s="47" t="s">
        <v>313</v>
      </c>
      <c r="D56" s="54" t="s">
        <v>43</v>
      </c>
      <c r="E56" s="47" t="n">
        <v>1</v>
      </c>
      <c r="F56" s="47" t="n">
        <v>1</v>
      </c>
      <c r="G56" s="47" t="s">
        <v>308</v>
      </c>
      <c r="H56" s="49" t="n">
        <v>46324</v>
      </c>
      <c r="I56" s="49" t="n">
        <v>46324</v>
      </c>
      <c r="J56" s="49" t="str">
        <f aca="false">IF('Project Status'!E56="","",'Project Status'!E56)</f>
        <v/>
      </c>
      <c r="K56" s="49" t="str">
        <f aca="false">IF('Project Status'!F56="","",'Project Status'!F56)</f>
        <v/>
      </c>
      <c r="L56" s="47" t="str">
        <f aca="false">IF('Project Status'!G56="","",'Project Status'!G56)</f>
        <v>Pending</v>
      </c>
      <c r="M56" s="47" t="str">
        <f aca="false">IF(OR(K56="",I56=""),"",IF(K56&gt;=I56,NETWORKDAYS(I56,K56,Holidays!$A$2:$A$40)-1,-(NETWORKDAYS(K56,I56,Holidays!$A$2:$A$40)-1)))</f>
        <v/>
      </c>
      <c r="N56" s="50" t="str">
        <f aca="true">IF(AND($J56&lt;&gt;"",N$4&gt;=$J56,N$4&lt;=IF($K56="",TODAY(),$K56),N$67=0),"●","")</f>
        <v/>
      </c>
      <c r="O56" s="50" t="str">
        <f aca="true">IF(AND($J56&lt;&gt;"",O$4&gt;=$J56,O$4&lt;=IF($K56="",TODAY(),$K56),O$67=0),"●","")</f>
        <v/>
      </c>
      <c r="P56" s="50" t="str">
        <f aca="true">IF(AND($J56&lt;&gt;"",P$4&gt;=$J56,P$4&lt;=IF($K56="",TODAY(),$K56),P$67=0),"●","")</f>
        <v/>
      </c>
      <c r="Q56" s="50" t="str">
        <f aca="true">IF(AND($J56&lt;&gt;"",Q$4&gt;=$J56,Q$4&lt;=IF($K56="",TODAY(),$K56),Q$67=0),"●","")</f>
        <v/>
      </c>
      <c r="R56" s="50" t="str">
        <f aca="true">IF(AND($J56&lt;&gt;"",R$4&gt;=$J56,R$4&lt;=IF($K56="",TODAY(),$K56),R$67=0),"●","")</f>
        <v/>
      </c>
      <c r="S56" s="50" t="str">
        <f aca="true">IF(AND($J56&lt;&gt;"",S$4&gt;=$J56,S$4&lt;=IF($K56="",TODAY(),$K56),S$67=0),"●","")</f>
        <v/>
      </c>
      <c r="T56" s="50" t="str">
        <f aca="true">IF(AND($J56&lt;&gt;"",T$4&gt;=$J56,T$4&lt;=IF($K56="",TODAY(),$K56),T$67=0),"●","")</f>
        <v/>
      </c>
      <c r="U56" s="50" t="str">
        <f aca="true">IF(AND($J56&lt;&gt;"",U$4&gt;=$J56,U$4&lt;=IF($K56="",TODAY(),$K56),U$67=0),"●","")</f>
        <v/>
      </c>
      <c r="V56" s="50" t="str">
        <f aca="true">IF(AND($J56&lt;&gt;"",V$4&gt;=$J56,V$4&lt;=IF($K56="",TODAY(),$K56),V$67=0),"●","")</f>
        <v/>
      </c>
      <c r="W56" s="50" t="str">
        <f aca="true">IF(AND($J56&lt;&gt;"",W$4&gt;=$J56,W$4&lt;=IF($K56="",TODAY(),$K56),W$67=0),"●","")</f>
        <v/>
      </c>
      <c r="X56" s="50" t="str">
        <f aca="true">IF(AND($J56&lt;&gt;"",X$4&gt;=$J56,X$4&lt;=IF($K56="",TODAY(),$K56),X$67=0),"●","")</f>
        <v/>
      </c>
      <c r="Y56" s="50" t="str">
        <f aca="true">IF(AND($J56&lt;&gt;"",Y$4&gt;=$J56,Y$4&lt;=IF($K56="",TODAY(),$K56),Y$67=0),"●","")</f>
        <v/>
      </c>
      <c r="Z56" s="50" t="str">
        <f aca="true">IF(AND($J56&lt;&gt;"",Z$4&gt;=$J56,Z$4&lt;=IF($K56="",TODAY(),$K56),Z$67=0),"●","")</f>
        <v/>
      </c>
      <c r="AA56" s="50" t="str">
        <f aca="true">IF(AND($J56&lt;&gt;"",AA$4&gt;=$J56,AA$4&lt;=IF($K56="",TODAY(),$K56),AA$67=0),"●","")</f>
        <v/>
      </c>
      <c r="AB56" s="50" t="str">
        <f aca="true">IF(AND($J56&lt;&gt;"",AB$4&gt;=$J56,AB$4&lt;=IF($K56="",TODAY(),$K56),AB$67=0),"●","")</f>
        <v/>
      </c>
      <c r="AC56" s="50" t="str">
        <f aca="true">IF(AND($J56&lt;&gt;"",AC$4&gt;=$J56,AC$4&lt;=IF($K56="",TODAY(),$K56),AC$67=0),"●","")</f>
        <v/>
      </c>
      <c r="AD56" s="50" t="str">
        <f aca="true">IF(AND($J56&lt;&gt;"",AD$4&gt;=$J56,AD$4&lt;=IF($K56="",TODAY(),$K56),AD$67=0),"●","")</f>
        <v/>
      </c>
      <c r="AE56" s="50" t="str">
        <f aca="true">IF(AND($J56&lt;&gt;"",AE$4&gt;=$J56,AE$4&lt;=IF($K56="",TODAY(),$K56),AE$67=0),"●","")</f>
        <v/>
      </c>
      <c r="AF56" s="50" t="str">
        <f aca="true">IF(AND($J56&lt;&gt;"",AF$4&gt;=$J56,AF$4&lt;=IF($K56="",TODAY(),$K56),AF$67=0),"●","")</f>
        <v/>
      </c>
      <c r="AG56" s="50" t="str">
        <f aca="true">IF(AND($J56&lt;&gt;"",AG$4&gt;=$J56,AG$4&lt;=IF($K56="",TODAY(),$K56),AG$67=0),"●","")</f>
        <v/>
      </c>
      <c r="AH56" s="50" t="str">
        <f aca="true">IF(AND($J56&lt;&gt;"",AH$4&gt;=$J56,AH$4&lt;=IF($K56="",TODAY(),$K56),AH$67=0),"●","")</f>
        <v/>
      </c>
      <c r="AI56" s="50" t="str">
        <f aca="true">IF(AND($J56&lt;&gt;"",AI$4&gt;=$J56,AI$4&lt;=IF($K56="",TODAY(),$K56),AI$67=0),"●","")</f>
        <v/>
      </c>
      <c r="AJ56" s="50" t="str">
        <f aca="true">IF(AND($J56&lt;&gt;"",AJ$4&gt;=$J56,AJ$4&lt;=IF($K56="",TODAY(),$K56),AJ$67=0),"●","")</f>
        <v/>
      </c>
      <c r="AK56" s="50" t="str">
        <f aca="true">IF(AND($J56&lt;&gt;"",AK$4&gt;=$J56,AK$4&lt;=IF($K56="",TODAY(),$K56),AK$67=0),"●","")</f>
        <v/>
      </c>
      <c r="AL56" s="50" t="str">
        <f aca="true">IF(AND($J56&lt;&gt;"",AL$4&gt;=$J56,AL$4&lt;=IF($K56="",TODAY(),$K56),AL$67=0),"●","")</f>
        <v/>
      </c>
      <c r="AM56" s="50" t="str">
        <f aca="true">IF(AND($J56&lt;&gt;"",AM$4&gt;=$J56,AM$4&lt;=IF($K56="",TODAY(),$K56),AM$67=0),"●","")</f>
        <v/>
      </c>
      <c r="AN56" s="50" t="str">
        <f aca="true">IF(AND($J56&lt;&gt;"",AN$4&gt;=$J56,AN$4&lt;=IF($K56="",TODAY(),$K56),AN$67=0),"●","")</f>
        <v/>
      </c>
      <c r="AO56" s="50" t="str">
        <f aca="true">IF(AND($J56&lt;&gt;"",AO$4&gt;=$J56,AO$4&lt;=IF($K56="",TODAY(),$K56),AO$67=0),"●","")</f>
        <v/>
      </c>
      <c r="AP56" s="50" t="str">
        <f aca="true">IF(AND($J56&lt;&gt;"",AP$4&gt;=$J56,AP$4&lt;=IF($K56="",TODAY(),$K56),AP$67=0),"●","")</f>
        <v/>
      </c>
      <c r="AQ56" s="50" t="str">
        <f aca="true">IF(AND($J56&lt;&gt;"",AQ$4&gt;=$J56,AQ$4&lt;=IF($K56="",TODAY(),$K56),AQ$67=0),"●","")</f>
        <v/>
      </c>
      <c r="AR56" s="50" t="str">
        <f aca="true">IF(AND($J56&lt;&gt;"",AR$4&gt;=$J56,AR$4&lt;=IF($K56="",TODAY(),$K56),AR$67=0),"●","")</f>
        <v/>
      </c>
      <c r="AS56" s="50" t="str">
        <f aca="true">IF(AND($J56&lt;&gt;"",AS$4&gt;=$J56,AS$4&lt;=IF($K56="",TODAY(),$K56),AS$67=0),"●","")</f>
        <v/>
      </c>
      <c r="AT56" s="50" t="str">
        <f aca="true">IF(AND($J56&lt;&gt;"",AT$4&gt;=$J56,AT$4&lt;=IF($K56="",TODAY(),$K56),AT$67=0),"●","")</f>
        <v/>
      </c>
      <c r="AU56" s="50" t="str">
        <f aca="true">IF(AND($J56&lt;&gt;"",AU$4&gt;=$J56,AU$4&lt;=IF($K56="",TODAY(),$K56),AU$67=0),"●","")</f>
        <v/>
      </c>
      <c r="AV56" s="50" t="str">
        <f aca="true">IF(AND($J56&lt;&gt;"",AV$4&gt;=$J56,AV$4&lt;=IF($K56="",TODAY(),$K56),AV$67=0),"●","")</f>
        <v/>
      </c>
      <c r="AW56" s="50" t="str">
        <f aca="true">IF(AND($J56&lt;&gt;"",AW$4&gt;=$J56,AW$4&lt;=IF($K56="",TODAY(),$K56),AW$67=0),"●","")</f>
        <v/>
      </c>
      <c r="AX56" s="51" t="s">
        <v>314</v>
      </c>
    </row>
    <row r="57" customFormat="false" ht="15" hidden="false" customHeight="false" outlineLevel="0" collapsed="false">
      <c r="A57" s="47" t="s">
        <v>315</v>
      </c>
      <c r="B57" s="47" t="s">
        <v>282</v>
      </c>
      <c r="C57" s="47" t="s">
        <v>316</v>
      </c>
      <c r="D57" s="48" t="s">
        <v>33</v>
      </c>
      <c r="E57" s="47" t="n">
        <v>1</v>
      </c>
      <c r="F57" s="47" t="n">
        <v>1</v>
      </c>
      <c r="G57" s="47" t="s">
        <v>308</v>
      </c>
      <c r="H57" s="49" t="n">
        <v>46324</v>
      </c>
      <c r="I57" s="49" t="n">
        <v>46324</v>
      </c>
      <c r="J57" s="49" t="str">
        <f aca="false">IF('Project Status'!E57="","",'Project Status'!E57)</f>
        <v/>
      </c>
      <c r="K57" s="49" t="str">
        <f aca="false">IF('Project Status'!F57="","",'Project Status'!F57)</f>
        <v/>
      </c>
      <c r="L57" s="47" t="str">
        <f aca="false">IF('Project Status'!G57="","",'Project Status'!G57)</f>
        <v>Pending</v>
      </c>
      <c r="M57" s="47" t="str">
        <f aca="false">IF(OR(K57="",I57=""),"",IF(K57&gt;=I57,NETWORKDAYS(I57,K57,Holidays!$A$2:$A$40)-1,-(NETWORKDAYS(K57,I57,Holidays!$A$2:$A$40)-1)))</f>
        <v/>
      </c>
      <c r="N57" s="50" t="str">
        <f aca="true">IF(AND($J57&lt;&gt;"",N$4&gt;=$J57,N$4&lt;=IF($K57="",TODAY(),$K57),N$67=0),"●","")</f>
        <v/>
      </c>
      <c r="O57" s="50" t="str">
        <f aca="true">IF(AND($J57&lt;&gt;"",O$4&gt;=$J57,O$4&lt;=IF($K57="",TODAY(),$K57),O$67=0),"●","")</f>
        <v/>
      </c>
      <c r="P57" s="50" t="str">
        <f aca="true">IF(AND($J57&lt;&gt;"",P$4&gt;=$J57,P$4&lt;=IF($K57="",TODAY(),$K57),P$67=0),"●","")</f>
        <v/>
      </c>
      <c r="Q57" s="50" t="str">
        <f aca="true">IF(AND($J57&lt;&gt;"",Q$4&gt;=$J57,Q$4&lt;=IF($K57="",TODAY(),$K57),Q$67=0),"●","")</f>
        <v/>
      </c>
      <c r="R57" s="50" t="str">
        <f aca="true">IF(AND($J57&lt;&gt;"",R$4&gt;=$J57,R$4&lt;=IF($K57="",TODAY(),$K57),R$67=0),"●","")</f>
        <v/>
      </c>
      <c r="S57" s="50" t="str">
        <f aca="true">IF(AND($J57&lt;&gt;"",S$4&gt;=$J57,S$4&lt;=IF($K57="",TODAY(),$K57),S$67=0),"●","")</f>
        <v/>
      </c>
      <c r="T57" s="50" t="str">
        <f aca="true">IF(AND($J57&lt;&gt;"",T$4&gt;=$J57,T$4&lt;=IF($K57="",TODAY(),$K57),T$67=0),"●","")</f>
        <v/>
      </c>
      <c r="U57" s="50" t="str">
        <f aca="true">IF(AND($J57&lt;&gt;"",U$4&gt;=$J57,U$4&lt;=IF($K57="",TODAY(),$K57),U$67=0),"●","")</f>
        <v/>
      </c>
      <c r="V57" s="50" t="str">
        <f aca="true">IF(AND($J57&lt;&gt;"",V$4&gt;=$J57,V$4&lt;=IF($K57="",TODAY(),$K57),V$67=0),"●","")</f>
        <v/>
      </c>
      <c r="W57" s="50" t="str">
        <f aca="true">IF(AND($J57&lt;&gt;"",W$4&gt;=$J57,W$4&lt;=IF($K57="",TODAY(),$K57),W$67=0),"●","")</f>
        <v/>
      </c>
      <c r="X57" s="50" t="str">
        <f aca="true">IF(AND($J57&lt;&gt;"",X$4&gt;=$J57,X$4&lt;=IF($K57="",TODAY(),$K57),X$67=0),"●","")</f>
        <v/>
      </c>
      <c r="Y57" s="50" t="str">
        <f aca="true">IF(AND($J57&lt;&gt;"",Y$4&gt;=$J57,Y$4&lt;=IF($K57="",TODAY(),$K57),Y$67=0),"●","")</f>
        <v/>
      </c>
      <c r="Z57" s="50" t="str">
        <f aca="true">IF(AND($J57&lt;&gt;"",Z$4&gt;=$J57,Z$4&lt;=IF($K57="",TODAY(),$K57),Z$67=0),"●","")</f>
        <v/>
      </c>
      <c r="AA57" s="50" t="str">
        <f aca="true">IF(AND($J57&lt;&gt;"",AA$4&gt;=$J57,AA$4&lt;=IF($K57="",TODAY(),$K57),AA$67=0),"●","")</f>
        <v/>
      </c>
      <c r="AB57" s="50" t="str">
        <f aca="true">IF(AND($J57&lt;&gt;"",AB$4&gt;=$J57,AB$4&lt;=IF($K57="",TODAY(),$K57),AB$67=0),"●","")</f>
        <v/>
      </c>
      <c r="AC57" s="50" t="str">
        <f aca="true">IF(AND($J57&lt;&gt;"",AC$4&gt;=$J57,AC$4&lt;=IF($K57="",TODAY(),$K57),AC$67=0),"●","")</f>
        <v/>
      </c>
      <c r="AD57" s="50" t="str">
        <f aca="true">IF(AND($J57&lt;&gt;"",AD$4&gt;=$J57,AD$4&lt;=IF($K57="",TODAY(),$K57),AD$67=0),"●","")</f>
        <v/>
      </c>
      <c r="AE57" s="50" t="str">
        <f aca="true">IF(AND($J57&lt;&gt;"",AE$4&gt;=$J57,AE$4&lt;=IF($K57="",TODAY(),$K57),AE$67=0),"●","")</f>
        <v/>
      </c>
      <c r="AF57" s="50" t="str">
        <f aca="true">IF(AND($J57&lt;&gt;"",AF$4&gt;=$J57,AF$4&lt;=IF($K57="",TODAY(),$K57),AF$67=0),"●","")</f>
        <v/>
      </c>
      <c r="AG57" s="50" t="str">
        <f aca="true">IF(AND($J57&lt;&gt;"",AG$4&gt;=$J57,AG$4&lt;=IF($K57="",TODAY(),$K57),AG$67=0),"●","")</f>
        <v/>
      </c>
      <c r="AH57" s="50" t="str">
        <f aca="true">IF(AND($J57&lt;&gt;"",AH$4&gt;=$J57,AH$4&lt;=IF($K57="",TODAY(),$K57),AH$67=0),"●","")</f>
        <v/>
      </c>
      <c r="AI57" s="50" t="str">
        <f aca="true">IF(AND($J57&lt;&gt;"",AI$4&gt;=$J57,AI$4&lt;=IF($K57="",TODAY(),$K57),AI$67=0),"●","")</f>
        <v/>
      </c>
      <c r="AJ57" s="50" t="str">
        <f aca="true">IF(AND($J57&lt;&gt;"",AJ$4&gt;=$J57,AJ$4&lt;=IF($K57="",TODAY(),$K57),AJ$67=0),"●","")</f>
        <v/>
      </c>
      <c r="AK57" s="50" t="str">
        <f aca="true">IF(AND($J57&lt;&gt;"",AK$4&gt;=$J57,AK$4&lt;=IF($K57="",TODAY(),$K57),AK$67=0),"●","")</f>
        <v/>
      </c>
      <c r="AL57" s="50" t="str">
        <f aca="true">IF(AND($J57&lt;&gt;"",AL$4&gt;=$J57,AL$4&lt;=IF($K57="",TODAY(),$K57),AL$67=0),"●","")</f>
        <v/>
      </c>
      <c r="AM57" s="50" t="str">
        <f aca="true">IF(AND($J57&lt;&gt;"",AM$4&gt;=$J57,AM$4&lt;=IF($K57="",TODAY(),$K57),AM$67=0),"●","")</f>
        <v/>
      </c>
      <c r="AN57" s="50" t="str">
        <f aca="true">IF(AND($J57&lt;&gt;"",AN$4&gt;=$J57,AN$4&lt;=IF($K57="",TODAY(),$K57),AN$67=0),"●","")</f>
        <v/>
      </c>
      <c r="AO57" s="50" t="str">
        <f aca="true">IF(AND($J57&lt;&gt;"",AO$4&gt;=$J57,AO$4&lt;=IF($K57="",TODAY(),$K57),AO$67=0),"●","")</f>
        <v/>
      </c>
      <c r="AP57" s="50" t="str">
        <f aca="true">IF(AND($J57&lt;&gt;"",AP$4&gt;=$J57,AP$4&lt;=IF($K57="",TODAY(),$K57),AP$67=0),"●","")</f>
        <v/>
      </c>
      <c r="AQ57" s="50" t="str">
        <f aca="true">IF(AND($J57&lt;&gt;"",AQ$4&gt;=$J57,AQ$4&lt;=IF($K57="",TODAY(),$K57),AQ$67=0),"●","")</f>
        <v/>
      </c>
      <c r="AR57" s="50" t="str">
        <f aca="true">IF(AND($J57&lt;&gt;"",AR$4&gt;=$J57,AR$4&lt;=IF($K57="",TODAY(),$K57),AR$67=0),"●","")</f>
        <v/>
      </c>
      <c r="AS57" s="50" t="str">
        <f aca="true">IF(AND($J57&lt;&gt;"",AS$4&gt;=$J57,AS$4&lt;=IF($K57="",TODAY(),$K57),AS$67=0),"●","")</f>
        <v/>
      </c>
      <c r="AT57" s="50" t="str">
        <f aca="true">IF(AND($J57&lt;&gt;"",AT$4&gt;=$J57,AT$4&lt;=IF($K57="",TODAY(),$K57),AT$67=0),"●","")</f>
        <v/>
      </c>
      <c r="AU57" s="50" t="str">
        <f aca="true">IF(AND($J57&lt;&gt;"",AU$4&gt;=$J57,AU$4&lt;=IF($K57="",TODAY(),$K57),AU$67=0),"●","")</f>
        <v/>
      </c>
      <c r="AV57" s="50" t="str">
        <f aca="true">IF(AND($J57&lt;&gt;"",AV$4&gt;=$J57,AV$4&lt;=IF($K57="",TODAY(),$K57),AV$67=0),"●","")</f>
        <v/>
      </c>
      <c r="AW57" s="50" t="str">
        <f aca="true">IF(AND($J57&lt;&gt;"",AW$4&gt;=$J57,AW$4&lt;=IF($K57="",TODAY(),$K57),AW$67=0),"●","")</f>
        <v/>
      </c>
      <c r="AX57" s="51" t="s">
        <v>317</v>
      </c>
    </row>
    <row r="58" customFormat="false" ht="15" hidden="false" customHeight="false" outlineLevel="0" collapsed="false">
      <c r="A58" s="47" t="s">
        <v>318</v>
      </c>
      <c r="B58" s="47" t="s">
        <v>282</v>
      </c>
      <c r="C58" s="47" t="s">
        <v>319</v>
      </c>
      <c r="D58" s="52" t="s">
        <v>37</v>
      </c>
      <c r="E58" s="47" t="n">
        <v>1</v>
      </c>
      <c r="F58" s="47" t="n">
        <v>1</v>
      </c>
      <c r="G58" s="47" t="s">
        <v>308</v>
      </c>
      <c r="H58" s="49" t="n">
        <v>46324</v>
      </c>
      <c r="I58" s="49" t="n">
        <v>46324</v>
      </c>
      <c r="J58" s="49" t="str">
        <f aca="false">IF('Project Status'!E58="","",'Project Status'!E58)</f>
        <v/>
      </c>
      <c r="K58" s="49" t="str">
        <f aca="false">IF('Project Status'!F58="","",'Project Status'!F58)</f>
        <v/>
      </c>
      <c r="L58" s="47" t="str">
        <f aca="false">IF('Project Status'!G58="","",'Project Status'!G58)</f>
        <v>Pending</v>
      </c>
      <c r="M58" s="47" t="str">
        <f aca="false">IF(OR(K58="",I58=""),"",IF(K58&gt;=I58,NETWORKDAYS(I58,K58,Holidays!$A$2:$A$40)-1,-(NETWORKDAYS(K58,I58,Holidays!$A$2:$A$40)-1)))</f>
        <v/>
      </c>
      <c r="N58" s="50" t="str">
        <f aca="true">IF(AND($J58&lt;&gt;"",N$4&gt;=$J58,N$4&lt;=IF($K58="",TODAY(),$K58),N$67=0),"●","")</f>
        <v/>
      </c>
      <c r="O58" s="50" t="str">
        <f aca="true">IF(AND($J58&lt;&gt;"",O$4&gt;=$J58,O$4&lt;=IF($K58="",TODAY(),$K58),O$67=0),"●","")</f>
        <v/>
      </c>
      <c r="P58" s="50" t="str">
        <f aca="true">IF(AND($J58&lt;&gt;"",P$4&gt;=$J58,P$4&lt;=IF($K58="",TODAY(),$K58),P$67=0),"●","")</f>
        <v/>
      </c>
      <c r="Q58" s="50" t="str">
        <f aca="true">IF(AND($J58&lt;&gt;"",Q$4&gt;=$J58,Q$4&lt;=IF($K58="",TODAY(),$K58),Q$67=0),"●","")</f>
        <v/>
      </c>
      <c r="R58" s="50" t="str">
        <f aca="true">IF(AND($J58&lt;&gt;"",R$4&gt;=$J58,R$4&lt;=IF($K58="",TODAY(),$K58),R$67=0),"●","")</f>
        <v/>
      </c>
      <c r="S58" s="50" t="str">
        <f aca="true">IF(AND($J58&lt;&gt;"",S$4&gt;=$J58,S$4&lt;=IF($K58="",TODAY(),$K58),S$67=0),"●","")</f>
        <v/>
      </c>
      <c r="T58" s="50" t="str">
        <f aca="true">IF(AND($J58&lt;&gt;"",T$4&gt;=$J58,T$4&lt;=IF($K58="",TODAY(),$K58),T$67=0),"●","")</f>
        <v/>
      </c>
      <c r="U58" s="50" t="str">
        <f aca="true">IF(AND($J58&lt;&gt;"",U$4&gt;=$J58,U$4&lt;=IF($K58="",TODAY(),$K58),U$67=0),"●","")</f>
        <v/>
      </c>
      <c r="V58" s="50" t="str">
        <f aca="true">IF(AND($J58&lt;&gt;"",V$4&gt;=$J58,V$4&lt;=IF($K58="",TODAY(),$K58),V$67=0),"●","")</f>
        <v/>
      </c>
      <c r="W58" s="50" t="str">
        <f aca="true">IF(AND($J58&lt;&gt;"",W$4&gt;=$J58,W$4&lt;=IF($K58="",TODAY(),$K58),W$67=0),"●","")</f>
        <v/>
      </c>
      <c r="X58" s="50" t="str">
        <f aca="true">IF(AND($J58&lt;&gt;"",X$4&gt;=$J58,X$4&lt;=IF($K58="",TODAY(),$K58),X$67=0),"●","")</f>
        <v/>
      </c>
      <c r="Y58" s="50" t="str">
        <f aca="true">IF(AND($J58&lt;&gt;"",Y$4&gt;=$J58,Y$4&lt;=IF($K58="",TODAY(),$K58),Y$67=0),"●","")</f>
        <v/>
      </c>
      <c r="Z58" s="50" t="str">
        <f aca="true">IF(AND($J58&lt;&gt;"",Z$4&gt;=$J58,Z$4&lt;=IF($K58="",TODAY(),$K58),Z$67=0),"●","")</f>
        <v/>
      </c>
      <c r="AA58" s="50" t="str">
        <f aca="true">IF(AND($J58&lt;&gt;"",AA$4&gt;=$J58,AA$4&lt;=IF($K58="",TODAY(),$K58),AA$67=0),"●","")</f>
        <v/>
      </c>
      <c r="AB58" s="50" t="str">
        <f aca="true">IF(AND($J58&lt;&gt;"",AB$4&gt;=$J58,AB$4&lt;=IF($K58="",TODAY(),$K58),AB$67=0),"●","")</f>
        <v/>
      </c>
      <c r="AC58" s="50" t="str">
        <f aca="true">IF(AND($J58&lt;&gt;"",AC$4&gt;=$J58,AC$4&lt;=IF($K58="",TODAY(),$K58),AC$67=0),"●","")</f>
        <v/>
      </c>
      <c r="AD58" s="50" t="str">
        <f aca="true">IF(AND($J58&lt;&gt;"",AD$4&gt;=$J58,AD$4&lt;=IF($K58="",TODAY(),$K58),AD$67=0),"●","")</f>
        <v/>
      </c>
      <c r="AE58" s="50" t="str">
        <f aca="true">IF(AND($J58&lt;&gt;"",AE$4&gt;=$J58,AE$4&lt;=IF($K58="",TODAY(),$K58),AE$67=0),"●","")</f>
        <v/>
      </c>
      <c r="AF58" s="50" t="str">
        <f aca="true">IF(AND($J58&lt;&gt;"",AF$4&gt;=$J58,AF$4&lt;=IF($K58="",TODAY(),$K58),AF$67=0),"●","")</f>
        <v/>
      </c>
      <c r="AG58" s="50" t="str">
        <f aca="true">IF(AND($J58&lt;&gt;"",AG$4&gt;=$J58,AG$4&lt;=IF($K58="",TODAY(),$K58),AG$67=0),"●","")</f>
        <v/>
      </c>
      <c r="AH58" s="50" t="str">
        <f aca="true">IF(AND($J58&lt;&gt;"",AH$4&gt;=$J58,AH$4&lt;=IF($K58="",TODAY(),$K58),AH$67=0),"●","")</f>
        <v/>
      </c>
      <c r="AI58" s="50" t="str">
        <f aca="true">IF(AND($J58&lt;&gt;"",AI$4&gt;=$J58,AI$4&lt;=IF($K58="",TODAY(),$K58),AI$67=0),"●","")</f>
        <v/>
      </c>
      <c r="AJ58" s="50" t="str">
        <f aca="true">IF(AND($J58&lt;&gt;"",AJ$4&gt;=$J58,AJ$4&lt;=IF($K58="",TODAY(),$K58),AJ$67=0),"●","")</f>
        <v/>
      </c>
      <c r="AK58" s="50" t="str">
        <f aca="true">IF(AND($J58&lt;&gt;"",AK$4&gt;=$J58,AK$4&lt;=IF($K58="",TODAY(),$K58),AK$67=0),"●","")</f>
        <v/>
      </c>
      <c r="AL58" s="50" t="str">
        <f aca="true">IF(AND($J58&lt;&gt;"",AL$4&gt;=$J58,AL$4&lt;=IF($K58="",TODAY(),$K58),AL$67=0),"●","")</f>
        <v/>
      </c>
      <c r="AM58" s="50" t="str">
        <f aca="true">IF(AND($J58&lt;&gt;"",AM$4&gt;=$J58,AM$4&lt;=IF($K58="",TODAY(),$K58),AM$67=0),"●","")</f>
        <v/>
      </c>
      <c r="AN58" s="50" t="str">
        <f aca="true">IF(AND($J58&lt;&gt;"",AN$4&gt;=$J58,AN$4&lt;=IF($K58="",TODAY(),$K58),AN$67=0),"●","")</f>
        <v/>
      </c>
      <c r="AO58" s="50" t="str">
        <f aca="true">IF(AND($J58&lt;&gt;"",AO$4&gt;=$J58,AO$4&lt;=IF($K58="",TODAY(),$K58),AO$67=0),"●","")</f>
        <v/>
      </c>
      <c r="AP58" s="50" t="str">
        <f aca="true">IF(AND($J58&lt;&gt;"",AP$4&gt;=$J58,AP$4&lt;=IF($K58="",TODAY(),$K58),AP$67=0),"●","")</f>
        <v/>
      </c>
      <c r="AQ58" s="50" t="str">
        <f aca="true">IF(AND($J58&lt;&gt;"",AQ$4&gt;=$J58,AQ$4&lt;=IF($K58="",TODAY(),$K58),AQ$67=0),"●","")</f>
        <v/>
      </c>
      <c r="AR58" s="50" t="str">
        <f aca="true">IF(AND($J58&lt;&gt;"",AR$4&gt;=$J58,AR$4&lt;=IF($K58="",TODAY(),$K58),AR$67=0),"●","")</f>
        <v/>
      </c>
      <c r="AS58" s="50" t="str">
        <f aca="true">IF(AND($J58&lt;&gt;"",AS$4&gt;=$J58,AS$4&lt;=IF($K58="",TODAY(),$K58),AS$67=0),"●","")</f>
        <v/>
      </c>
      <c r="AT58" s="50" t="str">
        <f aca="true">IF(AND($J58&lt;&gt;"",AT$4&gt;=$J58,AT$4&lt;=IF($K58="",TODAY(),$K58),AT$67=0),"●","")</f>
        <v/>
      </c>
      <c r="AU58" s="50" t="str">
        <f aca="true">IF(AND($J58&lt;&gt;"",AU$4&gt;=$J58,AU$4&lt;=IF($K58="",TODAY(),$K58),AU$67=0),"●","")</f>
        <v/>
      </c>
      <c r="AV58" s="50" t="str">
        <f aca="true">IF(AND($J58&lt;&gt;"",AV$4&gt;=$J58,AV$4&lt;=IF($K58="",TODAY(),$K58),AV$67=0),"●","")</f>
        <v/>
      </c>
      <c r="AW58" s="50" t="str">
        <f aca="true">IF(AND($J58&lt;&gt;"",AW$4&gt;=$J58,AW$4&lt;=IF($K58="",TODAY(),$K58),AW$67=0),"●","")</f>
        <v/>
      </c>
      <c r="AX58" s="51" t="s">
        <v>320</v>
      </c>
    </row>
    <row r="59" customFormat="false" ht="15" hidden="false" customHeight="false" outlineLevel="0" collapsed="false">
      <c r="A59" s="47" t="s">
        <v>321</v>
      </c>
      <c r="B59" s="47" t="s">
        <v>282</v>
      </c>
      <c r="C59" s="47" t="s">
        <v>322</v>
      </c>
      <c r="D59" s="56" t="s">
        <v>56</v>
      </c>
      <c r="E59" s="47" t="n">
        <v>1</v>
      </c>
      <c r="F59" s="47" t="n">
        <v>1</v>
      </c>
      <c r="G59" s="47" t="s">
        <v>308</v>
      </c>
      <c r="H59" s="49" t="n">
        <v>46324</v>
      </c>
      <c r="I59" s="49" t="n">
        <v>46324</v>
      </c>
      <c r="J59" s="49" t="str">
        <f aca="false">IF('Project Status'!E59="","",'Project Status'!E59)</f>
        <v/>
      </c>
      <c r="K59" s="49" t="str">
        <f aca="false">IF('Project Status'!F59="","",'Project Status'!F59)</f>
        <v/>
      </c>
      <c r="L59" s="47" t="str">
        <f aca="false">IF('Project Status'!G59="","",'Project Status'!G59)</f>
        <v>Pending</v>
      </c>
      <c r="M59" s="47" t="str">
        <f aca="false">IF(OR(K59="",I59=""),"",IF(K59&gt;=I59,NETWORKDAYS(I59,K59,Holidays!$A$2:$A$40)-1,-(NETWORKDAYS(K59,I59,Holidays!$A$2:$A$40)-1)))</f>
        <v/>
      </c>
      <c r="N59" s="50" t="str">
        <f aca="true">IF(AND($J59&lt;&gt;"",N$4&gt;=$J59,N$4&lt;=IF($K59="",TODAY(),$K59),N$67=0),"●","")</f>
        <v/>
      </c>
      <c r="O59" s="50" t="str">
        <f aca="true">IF(AND($J59&lt;&gt;"",O$4&gt;=$J59,O$4&lt;=IF($K59="",TODAY(),$K59),O$67=0),"●","")</f>
        <v/>
      </c>
      <c r="P59" s="50" t="str">
        <f aca="true">IF(AND($J59&lt;&gt;"",P$4&gt;=$J59,P$4&lt;=IF($K59="",TODAY(),$K59),P$67=0),"●","")</f>
        <v/>
      </c>
      <c r="Q59" s="50" t="str">
        <f aca="true">IF(AND($J59&lt;&gt;"",Q$4&gt;=$J59,Q$4&lt;=IF($K59="",TODAY(),$K59),Q$67=0),"●","")</f>
        <v/>
      </c>
      <c r="R59" s="50" t="str">
        <f aca="true">IF(AND($J59&lt;&gt;"",R$4&gt;=$J59,R$4&lt;=IF($K59="",TODAY(),$K59),R$67=0),"●","")</f>
        <v/>
      </c>
      <c r="S59" s="50" t="str">
        <f aca="true">IF(AND($J59&lt;&gt;"",S$4&gt;=$J59,S$4&lt;=IF($K59="",TODAY(),$K59),S$67=0),"●","")</f>
        <v/>
      </c>
      <c r="T59" s="50" t="str">
        <f aca="true">IF(AND($J59&lt;&gt;"",T$4&gt;=$J59,T$4&lt;=IF($K59="",TODAY(),$K59),T$67=0),"●","")</f>
        <v/>
      </c>
      <c r="U59" s="50" t="str">
        <f aca="true">IF(AND($J59&lt;&gt;"",U$4&gt;=$J59,U$4&lt;=IF($K59="",TODAY(),$K59),U$67=0),"●","")</f>
        <v/>
      </c>
      <c r="V59" s="50" t="str">
        <f aca="true">IF(AND($J59&lt;&gt;"",V$4&gt;=$J59,V$4&lt;=IF($K59="",TODAY(),$K59),V$67=0),"●","")</f>
        <v/>
      </c>
      <c r="W59" s="50" t="str">
        <f aca="true">IF(AND($J59&lt;&gt;"",W$4&gt;=$J59,W$4&lt;=IF($K59="",TODAY(),$K59),W$67=0),"●","")</f>
        <v/>
      </c>
      <c r="X59" s="50" t="str">
        <f aca="true">IF(AND($J59&lt;&gt;"",X$4&gt;=$J59,X$4&lt;=IF($K59="",TODAY(),$K59),X$67=0),"●","")</f>
        <v/>
      </c>
      <c r="Y59" s="50" t="str">
        <f aca="true">IF(AND($J59&lt;&gt;"",Y$4&gt;=$J59,Y$4&lt;=IF($K59="",TODAY(),$K59),Y$67=0),"●","")</f>
        <v/>
      </c>
      <c r="Z59" s="50" t="str">
        <f aca="true">IF(AND($J59&lt;&gt;"",Z$4&gt;=$J59,Z$4&lt;=IF($K59="",TODAY(),$K59),Z$67=0),"●","")</f>
        <v/>
      </c>
      <c r="AA59" s="50" t="str">
        <f aca="true">IF(AND($J59&lt;&gt;"",AA$4&gt;=$J59,AA$4&lt;=IF($K59="",TODAY(),$K59),AA$67=0),"●","")</f>
        <v/>
      </c>
      <c r="AB59" s="50" t="str">
        <f aca="true">IF(AND($J59&lt;&gt;"",AB$4&gt;=$J59,AB$4&lt;=IF($K59="",TODAY(),$K59),AB$67=0),"●","")</f>
        <v/>
      </c>
      <c r="AC59" s="50" t="str">
        <f aca="true">IF(AND($J59&lt;&gt;"",AC$4&gt;=$J59,AC$4&lt;=IF($K59="",TODAY(),$K59),AC$67=0),"●","")</f>
        <v/>
      </c>
      <c r="AD59" s="50" t="str">
        <f aca="true">IF(AND($J59&lt;&gt;"",AD$4&gt;=$J59,AD$4&lt;=IF($K59="",TODAY(),$K59),AD$67=0),"●","")</f>
        <v/>
      </c>
      <c r="AE59" s="50" t="str">
        <f aca="true">IF(AND($J59&lt;&gt;"",AE$4&gt;=$J59,AE$4&lt;=IF($K59="",TODAY(),$K59),AE$67=0),"●","")</f>
        <v/>
      </c>
      <c r="AF59" s="50" t="str">
        <f aca="true">IF(AND($J59&lt;&gt;"",AF$4&gt;=$J59,AF$4&lt;=IF($K59="",TODAY(),$K59),AF$67=0),"●","")</f>
        <v/>
      </c>
      <c r="AG59" s="50" t="str">
        <f aca="true">IF(AND($J59&lt;&gt;"",AG$4&gt;=$J59,AG$4&lt;=IF($K59="",TODAY(),$K59),AG$67=0),"●","")</f>
        <v/>
      </c>
      <c r="AH59" s="50" t="str">
        <f aca="true">IF(AND($J59&lt;&gt;"",AH$4&gt;=$J59,AH$4&lt;=IF($K59="",TODAY(),$K59),AH$67=0),"●","")</f>
        <v/>
      </c>
      <c r="AI59" s="50" t="str">
        <f aca="true">IF(AND($J59&lt;&gt;"",AI$4&gt;=$J59,AI$4&lt;=IF($K59="",TODAY(),$K59),AI$67=0),"●","")</f>
        <v/>
      </c>
      <c r="AJ59" s="50" t="str">
        <f aca="true">IF(AND($J59&lt;&gt;"",AJ$4&gt;=$J59,AJ$4&lt;=IF($K59="",TODAY(),$K59),AJ$67=0),"●","")</f>
        <v/>
      </c>
      <c r="AK59" s="50" t="str">
        <f aca="true">IF(AND($J59&lt;&gt;"",AK$4&gt;=$J59,AK$4&lt;=IF($K59="",TODAY(),$K59),AK$67=0),"●","")</f>
        <v/>
      </c>
      <c r="AL59" s="50" t="str">
        <f aca="true">IF(AND($J59&lt;&gt;"",AL$4&gt;=$J59,AL$4&lt;=IF($K59="",TODAY(),$K59),AL$67=0),"●","")</f>
        <v/>
      </c>
      <c r="AM59" s="50" t="str">
        <f aca="true">IF(AND($J59&lt;&gt;"",AM$4&gt;=$J59,AM$4&lt;=IF($K59="",TODAY(),$K59),AM$67=0),"●","")</f>
        <v/>
      </c>
      <c r="AN59" s="50" t="str">
        <f aca="true">IF(AND($J59&lt;&gt;"",AN$4&gt;=$J59,AN$4&lt;=IF($K59="",TODAY(),$K59),AN$67=0),"●","")</f>
        <v/>
      </c>
      <c r="AO59" s="50" t="str">
        <f aca="true">IF(AND($J59&lt;&gt;"",AO$4&gt;=$J59,AO$4&lt;=IF($K59="",TODAY(),$K59),AO$67=0),"●","")</f>
        <v/>
      </c>
      <c r="AP59" s="50" t="str">
        <f aca="true">IF(AND($J59&lt;&gt;"",AP$4&gt;=$J59,AP$4&lt;=IF($K59="",TODAY(),$K59),AP$67=0),"●","")</f>
        <v/>
      </c>
      <c r="AQ59" s="50" t="str">
        <f aca="true">IF(AND($J59&lt;&gt;"",AQ$4&gt;=$J59,AQ$4&lt;=IF($K59="",TODAY(),$K59),AQ$67=0),"●","")</f>
        <v/>
      </c>
      <c r="AR59" s="50" t="str">
        <f aca="true">IF(AND($J59&lt;&gt;"",AR$4&gt;=$J59,AR$4&lt;=IF($K59="",TODAY(),$K59),AR$67=0),"●","")</f>
        <v/>
      </c>
      <c r="AS59" s="50" t="str">
        <f aca="true">IF(AND($J59&lt;&gt;"",AS$4&gt;=$J59,AS$4&lt;=IF($K59="",TODAY(),$K59),AS$67=0),"●","")</f>
        <v/>
      </c>
      <c r="AT59" s="50" t="str">
        <f aca="true">IF(AND($J59&lt;&gt;"",AT$4&gt;=$J59,AT$4&lt;=IF($K59="",TODAY(),$K59),AT$67=0),"●","")</f>
        <v/>
      </c>
      <c r="AU59" s="50" t="str">
        <f aca="true">IF(AND($J59&lt;&gt;"",AU$4&gt;=$J59,AU$4&lt;=IF($K59="",TODAY(),$K59),AU$67=0),"●","")</f>
        <v/>
      </c>
      <c r="AV59" s="50" t="str">
        <f aca="true">IF(AND($J59&lt;&gt;"",AV$4&gt;=$J59,AV$4&lt;=IF($K59="",TODAY(),$K59),AV$67=0),"●","")</f>
        <v/>
      </c>
      <c r="AW59" s="50" t="str">
        <f aca="true">IF(AND($J59&lt;&gt;"",AW$4&gt;=$J59,AW$4&lt;=IF($K59="",TODAY(),$K59),AW$67=0),"●","")</f>
        <v/>
      </c>
      <c r="AX59" s="51" t="s">
        <v>323</v>
      </c>
    </row>
    <row r="60" customFormat="false" ht="15" hidden="false" customHeight="false" outlineLevel="0" collapsed="false">
      <c r="A60" s="47" t="s">
        <v>324</v>
      </c>
      <c r="B60" s="47" t="s">
        <v>282</v>
      </c>
      <c r="C60" s="47" t="s">
        <v>325</v>
      </c>
      <c r="D60" s="57" t="s">
        <v>59</v>
      </c>
      <c r="E60" s="47" t="n">
        <v>1</v>
      </c>
      <c r="F60" s="47" t="n">
        <v>1</v>
      </c>
      <c r="G60" s="47" t="s">
        <v>308</v>
      </c>
      <c r="H60" s="49" t="n">
        <v>46324</v>
      </c>
      <c r="I60" s="49" t="n">
        <v>46324</v>
      </c>
      <c r="J60" s="49" t="str">
        <f aca="false">IF('Project Status'!E60="","",'Project Status'!E60)</f>
        <v/>
      </c>
      <c r="K60" s="49" t="str">
        <f aca="false">IF('Project Status'!F60="","",'Project Status'!F60)</f>
        <v/>
      </c>
      <c r="L60" s="47" t="str">
        <f aca="false">IF('Project Status'!G60="","",'Project Status'!G60)</f>
        <v>Pending</v>
      </c>
      <c r="M60" s="47" t="str">
        <f aca="false">IF(OR(K60="",I60=""),"",IF(K60&gt;=I60,NETWORKDAYS(I60,K60,Holidays!$A$2:$A$40)-1,-(NETWORKDAYS(K60,I60,Holidays!$A$2:$A$40)-1)))</f>
        <v/>
      </c>
      <c r="N60" s="50" t="str">
        <f aca="true">IF(AND($J60&lt;&gt;"",N$4&gt;=$J60,N$4&lt;=IF($K60="",TODAY(),$K60),N$67=0),"●","")</f>
        <v/>
      </c>
      <c r="O60" s="50" t="str">
        <f aca="true">IF(AND($J60&lt;&gt;"",O$4&gt;=$J60,O$4&lt;=IF($K60="",TODAY(),$K60),O$67=0),"●","")</f>
        <v/>
      </c>
      <c r="P60" s="50" t="str">
        <f aca="true">IF(AND($J60&lt;&gt;"",P$4&gt;=$J60,P$4&lt;=IF($K60="",TODAY(),$K60),P$67=0),"●","")</f>
        <v/>
      </c>
      <c r="Q60" s="50" t="str">
        <f aca="true">IF(AND($J60&lt;&gt;"",Q$4&gt;=$J60,Q$4&lt;=IF($K60="",TODAY(),$K60),Q$67=0),"●","")</f>
        <v/>
      </c>
      <c r="R60" s="50" t="str">
        <f aca="true">IF(AND($J60&lt;&gt;"",R$4&gt;=$J60,R$4&lt;=IF($K60="",TODAY(),$K60),R$67=0),"●","")</f>
        <v/>
      </c>
      <c r="S60" s="50" t="str">
        <f aca="true">IF(AND($J60&lt;&gt;"",S$4&gt;=$J60,S$4&lt;=IF($K60="",TODAY(),$K60),S$67=0),"●","")</f>
        <v/>
      </c>
      <c r="T60" s="50" t="str">
        <f aca="true">IF(AND($J60&lt;&gt;"",T$4&gt;=$J60,T$4&lt;=IF($K60="",TODAY(),$K60),T$67=0),"●","")</f>
        <v/>
      </c>
      <c r="U60" s="50" t="str">
        <f aca="true">IF(AND($J60&lt;&gt;"",U$4&gt;=$J60,U$4&lt;=IF($K60="",TODAY(),$K60),U$67=0),"●","")</f>
        <v/>
      </c>
      <c r="V60" s="50" t="str">
        <f aca="true">IF(AND($J60&lt;&gt;"",V$4&gt;=$J60,V$4&lt;=IF($K60="",TODAY(),$K60),V$67=0),"●","")</f>
        <v/>
      </c>
      <c r="W60" s="50" t="str">
        <f aca="true">IF(AND($J60&lt;&gt;"",W$4&gt;=$J60,W$4&lt;=IF($K60="",TODAY(),$K60),W$67=0),"●","")</f>
        <v/>
      </c>
      <c r="X60" s="50" t="str">
        <f aca="true">IF(AND($J60&lt;&gt;"",X$4&gt;=$J60,X$4&lt;=IF($K60="",TODAY(),$K60),X$67=0),"●","")</f>
        <v/>
      </c>
      <c r="Y60" s="50" t="str">
        <f aca="true">IF(AND($J60&lt;&gt;"",Y$4&gt;=$J60,Y$4&lt;=IF($K60="",TODAY(),$K60),Y$67=0),"●","")</f>
        <v/>
      </c>
      <c r="Z60" s="50" t="str">
        <f aca="true">IF(AND($J60&lt;&gt;"",Z$4&gt;=$J60,Z$4&lt;=IF($K60="",TODAY(),$K60),Z$67=0),"●","")</f>
        <v/>
      </c>
      <c r="AA60" s="50" t="str">
        <f aca="true">IF(AND($J60&lt;&gt;"",AA$4&gt;=$J60,AA$4&lt;=IF($K60="",TODAY(),$K60),AA$67=0),"●","")</f>
        <v/>
      </c>
      <c r="AB60" s="50" t="str">
        <f aca="true">IF(AND($J60&lt;&gt;"",AB$4&gt;=$J60,AB$4&lt;=IF($K60="",TODAY(),$K60),AB$67=0),"●","")</f>
        <v/>
      </c>
      <c r="AC60" s="50" t="str">
        <f aca="true">IF(AND($J60&lt;&gt;"",AC$4&gt;=$J60,AC$4&lt;=IF($K60="",TODAY(),$K60),AC$67=0),"●","")</f>
        <v/>
      </c>
      <c r="AD60" s="50" t="str">
        <f aca="true">IF(AND($J60&lt;&gt;"",AD$4&gt;=$J60,AD$4&lt;=IF($K60="",TODAY(),$K60),AD$67=0),"●","")</f>
        <v/>
      </c>
      <c r="AE60" s="50" t="str">
        <f aca="true">IF(AND($J60&lt;&gt;"",AE$4&gt;=$J60,AE$4&lt;=IF($K60="",TODAY(),$K60),AE$67=0),"●","")</f>
        <v/>
      </c>
      <c r="AF60" s="50" t="str">
        <f aca="true">IF(AND($J60&lt;&gt;"",AF$4&gt;=$J60,AF$4&lt;=IF($K60="",TODAY(),$K60),AF$67=0),"●","")</f>
        <v/>
      </c>
      <c r="AG60" s="50" t="str">
        <f aca="true">IF(AND($J60&lt;&gt;"",AG$4&gt;=$J60,AG$4&lt;=IF($K60="",TODAY(),$K60),AG$67=0),"●","")</f>
        <v/>
      </c>
      <c r="AH60" s="50" t="str">
        <f aca="true">IF(AND($J60&lt;&gt;"",AH$4&gt;=$J60,AH$4&lt;=IF($K60="",TODAY(),$K60),AH$67=0),"●","")</f>
        <v/>
      </c>
      <c r="AI60" s="50" t="str">
        <f aca="true">IF(AND($J60&lt;&gt;"",AI$4&gt;=$J60,AI$4&lt;=IF($K60="",TODAY(),$K60),AI$67=0),"●","")</f>
        <v/>
      </c>
      <c r="AJ60" s="50" t="str">
        <f aca="true">IF(AND($J60&lt;&gt;"",AJ$4&gt;=$J60,AJ$4&lt;=IF($K60="",TODAY(),$K60),AJ$67=0),"●","")</f>
        <v/>
      </c>
      <c r="AK60" s="50" t="str">
        <f aca="true">IF(AND($J60&lt;&gt;"",AK$4&gt;=$J60,AK$4&lt;=IF($K60="",TODAY(),$K60),AK$67=0),"●","")</f>
        <v/>
      </c>
      <c r="AL60" s="50" t="str">
        <f aca="true">IF(AND($J60&lt;&gt;"",AL$4&gt;=$J60,AL$4&lt;=IF($K60="",TODAY(),$K60),AL$67=0),"●","")</f>
        <v/>
      </c>
      <c r="AM60" s="50" t="str">
        <f aca="true">IF(AND($J60&lt;&gt;"",AM$4&gt;=$J60,AM$4&lt;=IF($K60="",TODAY(),$K60),AM$67=0),"●","")</f>
        <v/>
      </c>
      <c r="AN60" s="50" t="str">
        <f aca="true">IF(AND($J60&lt;&gt;"",AN$4&gt;=$J60,AN$4&lt;=IF($K60="",TODAY(),$K60),AN$67=0),"●","")</f>
        <v/>
      </c>
      <c r="AO60" s="50" t="str">
        <f aca="true">IF(AND($J60&lt;&gt;"",AO$4&gt;=$J60,AO$4&lt;=IF($K60="",TODAY(),$K60),AO$67=0),"●","")</f>
        <v/>
      </c>
      <c r="AP60" s="50" t="str">
        <f aca="true">IF(AND($J60&lt;&gt;"",AP$4&gt;=$J60,AP$4&lt;=IF($K60="",TODAY(),$K60),AP$67=0),"●","")</f>
        <v/>
      </c>
      <c r="AQ60" s="50" t="str">
        <f aca="true">IF(AND($J60&lt;&gt;"",AQ$4&gt;=$J60,AQ$4&lt;=IF($K60="",TODAY(),$K60),AQ$67=0),"●","")</f>
        <v/>
      </c>
      <c r="AR60" s="50" t="str">
        <f aca="true">IF(AND($J60&lt;&gt;"",AR$4&gt;=$J60,AR$4&lt;=IF($K60="",TODAY(),$K60),AR$67=0),"●","")</f>
        <v/>
      </c>
      <c r="AS60" s="50" t="str">
        <f aca="true">IF(AND($J60&lt;&gt;"",AS$4&gt;=$J60,AS$4&lt;=IF($K60="",TODAY(),$K60),AS$67=0),"●","")</f>
        <v/>
      </c>
      <c r="AT60" s="50" t="str">
        <f aca="true">IF(AND($J60&lt;&gt;"",AT$4&gt;=$J60,AT$4&lt;=IF($K60="",TODAY(),$K60),AT$67=0),"●","")</f>
        <v/>
      </c>
      <c r="AU60" s="50" t="str">
        <f aca="true">IF(AND($J60&lt;&gt;"",AU$4&gt;=$J60,AU$4&lt;=IF($K60="",TODAY(),$K60),AU$67=0),"●","")</f>
        <v/>
      </c>
      <c r="AV60" s="50" t="str">
        <f aca="true">IF(AND($J60&lt;&gt;"",AV$4&gt;=$J60,AV$4&lt;=IF($K60="",TODAY(),$K60),AV$67=0),"●","")</f>
        <v/>
      </c>
      <c r="AW60" s="50" t="str">
        <f aca="true">IF(AND($J60&lt;&gt;"",AW$4&gt;=$J60,AW$4&lt;=IF($K60="",TODAY(),$K60),AW$67=0),"●","")</f>
        <v/>
      </c>
      <c r="AX60" s="51" t="s">
        <v>326</v>
      </c>
    </row>
    <row r="61" customFormat="false" ht="15" hidden="false" customHeight="false" outlineLevel="0" collapsed="false">
      <c r="A61" s="47" t="s">
        <v>327</v>
      </c>
      <c r="B61" s="47" t="s">
        <v>282</v>
      </c>
      <c r="C61" s="47" t="s">
        <v>328</v>
      </c>
      <c r="D61" s="48" t="s">
        <v>33</v>
      </c>
      <c r="E61" s="47" t="n">
        <v>1</v>
      </c>
      <c r="F61" s="47" t="n">
        <v>1</v>
      </c>
      <c r="G61" s="47" t="s">
        <v>329</v>
      </c>
      <c r="H61" s="49" t="n">
        <v>46325</v>
      </c>
      <c r="I61" s="49" t="n">
        <v>46325</v>
      </c>
      <c r="J61" s="49" t="str">
        <f aca="false">IF('Project Status'!E61="","",'Project Status'!E61)</f>
        <v/>
      </c>
      <c r="K61" s="49" t="str">
        <f aca="false">IF('Project Status'!F61="","",'Project Status'!F61)</f>
        <v/>
      </c>
      <c r="L61" s="47" t="str">
        <f aca="false">IF('Project Status'!G61="","",'Project Status'!G61)</f>
        <v>Pending</v>
      </c>
      <c r="M61" s="47" t="str">
        <f aca="false">IF(OR(K61="",I61=""),"",IF(K61&gt;=I61,NETWORKDAYS(I61,K61,Holidays!$A$2:$A$40)-1,-(NETWORKDAYS(K61,I61,Holidays!$A$2:$A$40)-1)))</f>
        <v/>
      </c>
      <c r="N61" s="50" t="str">
        <f aca="true">IF(AND($J61&lt;&gt;"",N$4&gt;=$J61,N$4&lt;=IF($K61="",TODAY(),$K61),N$67=0),"●","")</f>
        <v/>
      </c>
      <c r="O61" s="50" t="str">
        <f aca="true">IF(AND($J61&lt;&gt;"",O$4&gt;=$J61,O$4&lt;=IF($K61="",TODAY(),$K61),O$67=0),"●","")</f>
        <v/>
      </c>
      <c r="P61" s="50" t="str">
        <f aca="true">IF(AND($J61&lt;&gt;"",P$4&gt;=$J61,P$4&lt;=IF($K61="",TODAY(),$K61),P$67=0),"●","")</f>
        <v/>
      </c>
      <c r="Q61" s="50" t="str">
        <f aca="true">IF(AND($J61&lt;&gt;"",Q$4&gt;=$J61,Q$4&lt;=IF($K61="",TODAY(),$K61),Q$67=0),"●","")</f>
        <v/>
      </c>
      <c r="R61" s="50" t="str">
        <f aca="true">IF(AND($J61&lt;&gt;"",R$4&gt;=$J61,R$4&lt;=IF($K61="",TODAY(),$K61),R$67=0),"●","")</f>
        <v/>
      </c>
      <c r="S61" s="50" t="str">
        <f aca="true">IF(AND($J61&lt;&gt;"",S$4&gt;=$J61,S$4&lt;=IF($K61="",TODAY(),$K61),S$67=0),"●","")</f>
        <v/>
      </c>
      <c r="T61" s="50" t="str">
        <f aca="true">IF(AND($J61&lt;&gt;"",T$4&gt;=$J61,T$4&lt;=IF($K61="",TODAY(),$K61),T$67=0),"●","")</f>
        <v/>
      </c>
      <c r="U61" s="50" t="str">
        <f aca="true">IF(AND($J61&lt;&gt;"",U$4&gt;=$J61,U$4&lt;=IF($K61="",TODAY(),$K61),U$67=0),"●","")</f>
        <v/>
      </c>
      <c r="V61" s="50" t="str">
        <f aca="true">IF(AND($J61&lt;&gt;"",V$4&gt;=$J61,V$4&lt;=IF($K61="",TODAY(),$K61),V$67=0),"●","")</f>
        <v/>
      </c>
      <c r="W61" s="50" t="str">
        <f aca="true">IF(AND($J61&lt;&gt;"",W$4&gt;=$J61,W$4&lt;=IF($K61="",TODAY(),$K61),W$67=0),"●","")</f>
        <v/>
      </c>
      <c r="X61" s="50" t="str">
        <f aca="true">IF(AND($J61&lt;&gt;"",X$4&gt;=$J61,X$4&lt;=IF($K61="",TODAY(),$K61),X$67=0),"●","")</f>
        <v/>
      </c>
      <c r="Y61" s="50" t="str">
        <f aca="true">IF(AND($J61&lt;&gt;"",Y$4&gt;=$J61,Y$4&lt;=IF($K61="",TODAY(),$K61),Y$67=0),"●","")</f>
        <v/>
      </c>
      <c r="Z61" s="50" t="str">
        <f aca="true">IF(AND($J61&lt;&gt;"",Z$4&gt;=$J61,Z$4&lt;=IF($K61="",TODAY(),$K61),Z$67=0),"●","")</f>
        <v/>
      </c>
      <c r="AA61" s="50" t="str">
        <f aca="true">IF(AND($J61&lt;&gt;"",AA$4&gt;=$J61,AA$4&lt;=IF($K61="",TODAY(),$K61),AA$67=0),"●","")</f>
        <v/>
      </c>
      <c r="AB61" s="50" t="str">
        <f aca="true">IF(AND($J61&lt;&gt;"",AB$4&gt;=$J61,AB$4&lt;=IF($K61="",TODAY(),$K61),AB$67=0),"●","")</f>
        <v/>
      </c>
      <c r="AC61" s="50" t="str">
        <f aca="true">IF(AND($J61&lt;&gt;"",AC$4&gt;=$J61,AC$4&lt;=IF($K61="",TODAY(),$K61),AC$67=0),"●","")</f>
        <v/>
      </c>
      <c r="AD61" s="50" t="str">
        <f aca="true">IF(AND($J61&lt;&gt;"",AD$4&gt;=$J61,AD$4&lt;=IF($K61="",TODAY(),$K61),AD$67=0),"●","")</f>
        <v/>
      </c>
      <c r="AE61" s="50" t="str">
        <f aca="true">IF(AND($J61&lt;&gt;"",AE$4&gt;=$J61,AE$4&lt;=IF($K61="",TODAY(),$K61),AE$67=0),"●","")</f>
        <v/>
      </c>
      <c r="AF61" s="50" t="str">
        <f aca="true">IF(AND($J61&lt;&gt;"",AF$4&gt;=$J61,AF$4&lt;=IF($K61="",TODAY(),$K61),AF$67=0),"●","")</f>
        <v/>
      </c>
      <c r="AG61" s="50" t="str">
        <f aca="true">IF(AND($J61&lt;&gt;"",AG$4&gt;=$J61,AG$4&lt;=IF($K61="",TODAY(),$K61),AG$67=0),"●","")</f>
        <v/>
      </c>
      <c r="AH61" s="50" t="str">
        <f aca="true">IF(AND($J61&lt;&gt;"",AH$4&gt;=$J61,AH$4&lt;=IF($K61="",TODAY(),$K61),AH$67=0),"●","")</f>
        <v/>
      </c>
      <c r="AI61" s="50" t="str">
        <f aca="true">IF(AND($J61&lt;&gt;"",AI$4&gt;=$J61,AI$4&lt;=IF($K61="",TODAY(),$K61),AI$67=0),"●","")</f>
        <v/>
      </c>
      <c r="AJ61" s="50" t="str">
        <f aca="true">IF(AND($J61&lt;&gt;"",AJ$4&gt;=$J61,AJ$4&lt;=IF($K61="",TODAY(),$K61),AJ$67=0),"●","")</f>
        <v/>
      </c>
      <c r="AK61" s="50" t="str">
        <f aca="true">IF(AND($J61&lt;&gt;"",AK$4&gt;=$J61,AK$4&lt;=IF($K61="",TODAY(),$K61),AK$67=0),"●","")</f>
        <v/>
      </c>
      <c r="AL61" s="50" t="str">
        <f aca="true">IF(AND($J61&lt;&gt;"",AL$4&gt;=$J61,AL$4&lt;=IF($K61="",TODAY(),$K61),AL$67=0),"●","")</f>
        <v/>
      </c>
      <c r="AM61" s="50" t="str">
        <f aca="true">IF(AND($J61&lt;&gt;"",AM$4&gt;=$J61,AM$4&lt;=IF($K61="",TODAY(),$K61),AM$67=0),"●","")</f>
        <v/>
      </c>
      <c r="AN61" s="50" t="str">
        <f aca="true">IF(AND($J61&lt;&gt;"",AN$4&gt;=$J61,AN$4&lt;=IF($K61="",TODAY(),$K61),AN$67=0),"●","")</f>
        <v/>
      </c>
      <c r="AO61" s="50" t="str">
        <f aca="true">IF(AND($J61&lt;&gt;"",AO$4&gt;=$J61,AO$4&lt;=IF($K61="",TODAY(),$K61),AO$67=0),"●","")</f>
        <v/>
      </c>
      <c r="AP61" s="50" t="str">
        <f aca="true">IF(AND($J61&lt;&gt;"",AP$4&gt;=$J61,AP$4&lt;=IF($K61="",TODAY(),$K61),AP$67=0),"●","")</f>
        <v/>
      </c>
      <c r="AQ61" s="50" t="str">
        <f aca="true">IF(AND($J61&lt;&gt;"",AQ$4&gt;=$J61,AQ$4&lt;=IF($K61="",TODAY(),$K61),AQ$67=0),"●","")</f>
        <v/>
      </c>
      <c r="AR61" s="50" t="str">
        <f aca="true">IF(AND($J61&lt;&gt;"",AR$4&gt;=$J61,AR$4&lt;=IF($K61="",TODAY(),$K61),AR$67=0),"●","")</f>
        <v/>
      </c>
      <c r="AS61" s="50" t="str">
        <f aca="true">IF(AND($J61&lt;&gt;"",AS$4&gt;=$J61,AS$4&lt;=IF($K61="",TODAY(),$K61),AS$67=0),"●","")</f>
        <v/>
      </c>
      <c r="AT61" s="50" t="str">
        <f aca="true">IF(AND($J61&lt;&gt;"",AT$4&gt;=$J61,AT$4&lt;=IF($K61="",TODAY(),$K61),AT$67=0),"●","")</f>
        <v/>
      </c>
      <c r="AU61" s="50" t="str">
        <f aca="true">IF(AND($J61&lt;&gt;"",AU$4&gt;=$J61,AU$4&lt;=IF($K61="",TODAY(),$K61),AU$67=0),"●","")</f>
        <v/>
      </c>
      <c r="AV61" s="50" t="str">
        <f aca="true">IF(AND($J61&lt;&gt;"",AV$4&gt;=$J61,AV$4&lt;=IF($K61="",TODAY(),$K61),AV$67=0),"●","")</f>
        <v/>
      </c>
      <c r="AW61" s="50" t="str">
        <f aca="true">IF(AND($J61&lt;&gt;"",AW$4&gt;=$J61,AW$4&lt;=IF($K61="",TODAY(),$K61),AW$67=0),"●","")</f>
        <v/>
      </c>
      <c r="AX61" s="51" t="s">
        <v>330</v>
      </c>
    </row>
    <row r="62" customFormat="false" ht="15" hidden="false" customHeight="false" outlineLevel="0" collapsed="false">
      <c r="A62" s="47" t="s">
        <v>331</v>
      </c>
      <c r="B62" s="47" t="s">
        <v>282</v>
      </c>
      <c r="C62" s="47" t="s">
        <v>332</v>
      </c>
      <c r="D62" s="56" t="s">
        <v>56</v>
      </c>
      <c r="E62" s="47" t="n">
        <v>2</v>
      </c>
      <c r="F62" s="47" t="n">
        <v>2</v>
      </c>
      <c r="G62" s="47" t="s">
        <v>327</v>
      </c>
      <c r="H62" s="49" t="n">
        <v>46328</v>
      </c>
      <c r="I62" s="49" t="n">
        <v>46329</v>
      </c>
      <c r="J62" s="49" t="str">
        <f aca="false">IF('Project Status'!E62="","",'Project Status'!E62)</f>
        <v/>
      </c>
      <c r="K62" s="49" t="str">
        <f aca="false">IF('Project Status'!F62="","",'Project Status'!F62)</f>
        <v/>
      </c>
      <c r="L62" s="47" t="str">
        <f aca="false">IF('Project Status'!G62="","",'Project Status'!G62)</f>
        <v>Pending</v>
      </c>
      <c r="M62" s="47" t="str">
        <f aca="false">IF(OR(K62="",I62=""),"",IF(K62&gt;=I62,NETWORKDAYS(I62,K62,Holidays!$A$2:$A$40)-1,-(NETWORKDAYS(K62,I62,Holidays!$A$2:$A$40)-1)))</f>
        <v/>
      </c>
      <c r="N62" s="50" t="str">
        <f aca="true">IF(AND($J62&lt;&gt;"",N$4&gt;=$J62,N$4&lt;=IF($K62="",TODAY(),$K62),N$67=0),"●","")</f>
        <v/>
      </c>
      <c r="O62" s="50" t="str">
        <f aca="true">IF(AND($J62&lt;&gt;"",O$4&gt;=$J62,O$4&lt;=IF($K62="",TODAY(),$K62),O$67=0),"●","")</f>
        <v/>
      </c>
      <c r="P62" s="50" t="str">
        <f aca="true">IF(AND($J62&lt;&gt;"",P$4&gt;=$J62,P$4&lt;=IF($K62="",TODAY(),$K62),P$67=0),"●","")</f>
        <v/>
      </c>
      <c r="Q62" s="50" t="str">
        <f aca="true">IF(AND($J62&lt;&gt;"",Q$4&gt;=$J62,Q$4&lt;=IF($K62="",TODAY(),$K62),Q$67=0),"●","")</f>
        <v/>
      </c>
      <c r="R62" s="50" t="str">
        <f aca="true">IF(AND($J62&lt;&gt;"",R$4&gt;=$J62,R$4&lt;=IF($K62="",TODAY(),$K62),R$67=0),"●","")</f>
        <v/>
      </c>
      <c r="S62" s="50" t="str">
        <f aca="true">IF(AND($J62&lt;&gt;"",S$4&gt;=$J62,S$4&lt;=IF($K62="",TODAY(),$K62),S$67=0),"●","")</f>
        <v/>
      </c>
      <c r="T62" s="50" t="str">
        <f aca="true">IF(AND($J62&lt;&gt;"",T$4&gt;=$J62,T$4&lt;=IF($K62="",TODAY(),$K62),T$67=0),"●","")</f>
        <v/>
      </c>
      <c r="U62" s="50" t="str">
        <f aca="true">IF(AND($J62&lt;&gt;"",U$4&gt;=$J62,U$4&lt;=IF($K62="",TODAY(),$K62),U$67=0),"●","")</f>
        <v/>
      </c>
      <c r="V62" s="50" t="str">
        <f aca="true">IF(AND($J62&lt;&gt;"",V$4&gt;=$J62,V$4&lt;=IF($K62="",TODAY(),$K62),V$67=0),"●","")</f>
        <v/>
      </c>
      <c r="W62" s="50" t="str">
        <f aca="true">IF(AND($J62&lt;&gt;"",W$4&gt;=$J62,W$4&lt;=IF($K62="",TODAY(),$K62),W$67=0),"●","")</f>
        <v/>
      </c>
      <c r="X62" s="50" t="str">
        <f aca="true">IF(AND($J62&lt;&gt;"",X$4&gt;=$J62,X$4&lt;=IF($K62="",TODAY(),$K62),X$67=0),"●","")</f>
        <v/>
      </c>
      <c r="Y62" s="50" t="str">
        <f aca="true">IF(AND($J62&lt;&gt;"",Y$4&gt;=$J62,Y$4&lt;=IF($K62="",TODAY(),$K62),Y$67=0),"●","")</f>
        <v/>
      </c>
      <c r="Z62" s="50" t="str">
        <f aca="true">IF(AND($J62&lt;&gt;"",Z$4&gt;=$J62,Z$4&lt;=IF($K62="",TODAY(),$K62),Z$67=0),"●","")</f>
        <v/>
      </c>
      <c r="AA62" s="50" t="str">
        <f aca="true">IF(AND($J62&lt;&gt;"",AA$4&gt;=$J62,AA$4&lt;=IF($K62="",TODAY(),$K62),AA$67=0),"●","")</f>
        <v/>
      </c>
      <c r="AB62" s="50" t="str">
        <f aca="true">IF(AND($J62&lt;&gt;"",AB$4&gt;=$J62,AB$4&lt;=IF($K62="",TODAY(),$K62),AB$67=0),"●","")</f>
        <v/>
      </c>
      <c r="AC62" s="50" t="str">
        <f aca="true">IF(AND($J62&lt;&gt;"",AC$4&gt;=$J62,AC$4&lt;=IF($K62="",TODAY(),$K62),AC$67=0),"●","")</f>
        <v/>
      </c>
      <c r="AD62" s="50" t="str">
        <f aca="true">IF(AND($J62&lt;&gt;"",AD$4&gt;=$J62,AD$4&lt;=IF($K62="",TODAY(),$K62),AD$67=0),"●","")</f>
        <v/>
      </c>
      <c r="AE62" s="50" t="str">
        <f aca="true">IF(AND($J62&lt;&gt;"",AE$4&gt;=$J62,AE$4&lt;=IF($K62="",TODAY(),$K62),AE$67=0),"●","")</f>
        <v/>
      </c>
      <c r="AF62" s="50" t="str">
        <f aca="true">IF(AND($J62&lt;&gt;"",AF$4&gt;=$J62,AF$4&lt;=IF($K62="",TODAY(),$K62),AF$67=0),"●","")</f>
        <v/>
      </c>
      <c r="AG62" s="50" t="str">
        <f aca="true">IF(AND($J62&lt;&gt;"",AG$4&gt;=$J62,AG$4&lt;=IF($K62="",TODAY(),$K62),AG$67=0),"●","")</f>
        <v/>
      </c>
      <c r="AH62" s="50" t="str">
        <f aca="true">IF(AND($J62&lt;&gt;"",AH$4&gt;=$J62,AH$4&lt;=IF($K62="",TODAY(),$K62),AH$67=0),"●","")</f>
        <v/>
      </c>
      <c r="AI62" s="50" t="str">
        <f aca="true">IF(AND($J62&lt;&gt;"",AI$4&gt;=$J62,AI$4&lt;=IF($K62="",TODAY(),$K62),AI$67=0),"●","")</f>
        <v/>
      </c>
      <c r="AJ62" s="50" t="str">
        <f aca="true">IF(AND($J62&lt;&gt;"",AJ$4&gt;=$J62,AJ$4&lt;=IF($K62="",TODAY(),$K62),AJ$67=0),"●","")</f>
        <v/>
      </c>
      <c r="AK62" s="50" t="str">
        <f aca="true">IF(AND($J62&lt;&gt;"",AK$4&gt;=$J62,AK$4&lt;=IF($K62="",TODAY(),$K62),AK$67=0),"●","")</f>
        <v/>
      </c>
      <c r="AL62" s="50" t="str">
        <f aca="true">IF(AND($J62&lt;&gt;"",AL$4&gt;=$J62,AL$4&lt;=IF($K62="",TODAY(),$K62),AL$67=0),"●","")</f>
        <v/>
      </c>
      <c r="AM62" s="50" t="str">
        <f aca="true">IF(AND($J62&lt;&gt;"",AM$4&gt;=$J62,AM$4&lt;=IF($K62="",TODAY(),$K62),AM$67=0),"●","")</f>
        <v/>
      </c>
      <c r="AN62" s="50" t="str">
        <f aca="true">IF(AND($J62&lt;&gt;"",AN$4&gt;=$J62,AN$4&lt;=IF($K62="",TODAY(),$K62),AN$67=0),"●","")</f>
        <v/>
      </c>
      <c r="AO62" s="50" t="str">
        <f aca="true">IF(AND($J62&lt;&gt;"",AO$4&gt;=$J62,AO$4&lt;=IF($K62="",TODAY(),$K62),AO$67=0),"●","")</f>
        <v/>
      </c>
      <c r="AP62" s="50" t="str">
        <f aca="true">IF(AND($J62&lt;&gt;"",AP$4&gt;=$J62,AP$4&lt;=IF($K62="",TODAY(),$K62),AP$67=0),"●","")</f>
        <v/>
      </c>
      <c r="AQ62" s="50" t="str">
        <f aca="true">IF(AND($J62&lt;&gt;"",AQ$4&gt;=$J62,AQ$4&lt;=IF($K62="",TODAY(),$K62),AQ$67=0),"●","")</f>
        <v/>
      </c>
      <c r="AR62" s="50" t="str">
        <f aca="true">IF(AND($J62&lt;&gt;"",AR$4&gt;=$J62,AR$4&lt;=IF($K62="",TODAY(),$K62),AR$67=0),"●","")</f>
        <v/>
      </c>
      <c r="AS62" s="50" t="str">
        <f aca="true">IF(AND($J62&lt;&gt;"",AS$4&gt;=$J62,AS$4&lt;=IF($K62="",TODAY(),$K62),AS$67=0),"●","")</f>
        <v/>
      </c>
      <c r="AT62" s="50" t="str">
        <f aca="true">IF(AND($J62&lt;&gt;"",AT$4&gt;=$J62,AT$4&lt;=IF($K62="",TODAY(),$K62),AT$67=0),"●","")</f>
        <v/>
      </c>
      <c r="AU62" s="50" t="str">
        <f aca="true">IF(AND($J62&lt;&gt;"",AU$4&gt;=$J62,AU$4&lt;=IF($K62="",TODAY(),$K62),AU$67=0),"●","")</f>
        <v/>
      </c>
      <c r="AV62" s="50" t="str">
        <f aca="true">IF(AND($J62&lt;&gt;"",AV$4&gt;=$J62,AV$4&lt;=IF($K62="",TODAY(),$K62),AV$67=0),"●","")</f>
        <v/>
      </c>
      <c r="AW62" s="50" t="str">
        <f aca="true">IF(AND($J62&lt;&gt;"",AW$4&gt;=$J62,AW$4&lt;=IF($K62="",TODAY(),$K62),AW$67=0),"●","")</f>
        <v/>
      </c>
      <c r="AX62" s="51" t="s">
        <v>333</v>
      </c>
    </row>
    <row r="64" customFormat="false" ht="33.75" hidden="false" customHeight="true" outlineLevel="0" collapsed="false">
      <c r="C64" s="62" t="s">
        <v>334</v>
      </c>
      <c r="N64" s="63" t="s">
        <v>335</v>
      </c>
      <c r="AD64" s="63" t="s">
        <v>336</v>
      </c>
      <c r="AJ64" s="63" t="s">
        <v>337</v>
      </c>
      <c r="AL64" s="63" t="s">
        <v>338</v>
      </c>
      <c r="AM64" s="63" t="s">
        <v>339</v>
      </c>
      <c r="AO64" s="63" t="s">
        <v>340</v>
      </c>
      <c r="AQ64" s="63" t="s">
        <v>341</v>
      </c>
      <c r="AW64" s="63" t="s">
        <v>342</v>
      </c>
    </row>
    <row r="65" customFormat="false" ht="15" hidden="false" customHeight="false" outlineLevel="0" collapsed="false">
      <c r="C65" s="34" t="s">
        <v>343</v>
      </c>
      <c r="N65" s="64" t="s">
        <v>344</v>
      </c>
      <c r="P65" s="64" t="s">
        <v>345</v>
      </c>
      <c r="U65" s="64" t="s">
        <v>346</v>
      </c>
      <c r="X65" s="64" t="s">
        <v>347</v>
      </c>
      <c r="Z65" s="64" t="s">
        <v>348</v>
      </c>
      <c r="AC65" s="64" t="s">
        <v>349</v>
      </c>
      <c r="AH65" s="64" t="s">
        <v>350</v>
      </c>
      <c r="AJ65" s="64" t="s">
        <v>351</v>
      </c>
      <c r="AM65" s="64" t="s">
        <v>352</v>
      </c>
      <c r="AO65" s="64" t="s">
        <v>353</v>
      </c>
      <c r="AW65" s="64" t="s">
        <v>354</v>
      </c>
    </row>
    <row r="66" customFormat="false" ht="15" hidden="false" customHeight="false" outlineLevel="0" collapsed="false">
      <c r="C66" s="65" t="s">
        <v>355</v>
      </c>
    </row>
    <row r="67" customFormat="false" ht="15" hidden="true" customHeight="false" outlineLevel="0" collapsed="false">
      <c r="C67" s="1" t="s">
        <v>356</v>
      </c>
      <c r="N67" s="1" t="n">
        <f aca="false">IF(COUNTIF(Holidays!$A$2:$A$40,N$4)&gt;0,1,0)</f>
        <v>0</v>
      </c>
      <c r="O67" s="1" t="n">
        <f aca="false">IF(COUNTIF(Holidays!$A$2:$A$40,O$4)&gt;0,1,0)</f>
        <v>0</v>
      </c>
      <c r="P67" s="1" t="n">
        <f aca="false">IF(COUNTIF(Holidays!$A$2:$A$40,P$4)&gt;0,1,0)</f>
        <v>0</v>
      </c>
      <c r="Q67" s="1" t="n">
        <f aca="false">IF(COUNTIF(Holidays!$A$2:$A$40,Q$4)&gt;0,1,0)</f>
        <v>0</v>
      </c>
      <c r="R67" s="1" t="n">
        <f aca="false">IF(COUNTIF(Holidays!$A$2:$A$40,R$4)&gt;0,1,0)</f>
        <v>0</v>
      </c>
      <c r="S67" s="1" t="n">
        <f aca="false">IF(COUNTIF(Holidays!$A$2:$A$40,S$4)&gt;0,1,0)</f>
        <v>1</v>
      </c>
      <c r="T67" s="1" t="n">
        <f aca="false">IF(COUNTIF(Holidays!$A$2:$A$40,T$4)&gt;0,1,0)</f>
        <v>0</v>
      </c>
      <c r="U67" s="1" t="n">
        <f aca="false">IF(COUNTIF(Holidays!$A$2:$A$40,U$4)&gt;0,1,0)</f>
        <v>0</v>
      </c>
      <c r="V67" s="1" t="n">
        <f aca="false">IF(COUNTIF(Holidays!$A$2:$A$40,V$4)&gt;0,1,0)</f>
        <v>0</v>
      </c>
      <c r="W67" s="1" t="n">
        <f aca="false">IF(COUNTIF(Holidays!$A$2:$A$40,W$4)&gt;0,1,0)</f>
        <v>0</v>
      </c>
      <c r="X67" s="1" t="n">
        <f aca="false">IF(COUNTIF(Holidays!$A$2:$A$40,X$4)&gt;0,1,0)</f>
        <v>0</v>
      </c>
      <c r="Y67" s="1" t="n">
        <f aca="false">IF(COUNTIF(Holidays!$A$2:$A$40,Y$4)&gt;0,1,0)</f>
        <v>0</v>
      </c>
      <c r="Z67" s="1" t="n">
        <f aca="false">IF(COUNTIF(Holidays!$A$2:$A$40,Z$4)&gt;0,1,0)</f>
        <v>0</v>
      </c>
      <c r="AA67" s="1" t="n">
        <f aca="false">IF(COUNTIF(Holidays!$A$2:$A$40,AA$4)&gt;0,1,0)</f>
        <v>0</v>
      </c>
      <c r="AB67" s="1" t="n">
        <f aca="false">IF(COUNTIF(Holidays!$A$2:$A$40,AB$4)&gt;0,1,0)</f>
        <v>0</v>
      </c>
      <c r="AC67" s="1" t="n">
        <f aca="false">IF(COUNTIF(Holidays!$A$2:$A$40,AC$4)&gt;0,1,0)</f>
        <v>0</v>
      </c>
      <c r="AD67" s="1" t="n">
        <f aca="false">IF(COUNTIF(Holidays!$A$2:$A$40,AD$4)&gt;0,1,0)</f>
        <v>0</v>
      </c>
      <c r="AE67" s="1" t="n">
        <f aca="false">IF(COUNTIF(Holidays!$A$2:$A$40,AE$4)&gt;0,1,0)</f>
        <v>1</v>
      </c>
      <c r="AF67" s="1" t="n">
        <f aca="false">IF(COUNTIF(Holidays!$A$2:$A$40,AF$4)&gt;0,1,0)</f>
        <v>0</v>
      </c>
      <c r="AG67" s="1" t="n">
        <f aca="false">IF(COUNTIF(Holidays!$A$2:$A$40,AG$4)&gt;0,1,0)</f>
        <v>0</v>
      </c>
      <c r="AH67" s="1" t="n">
        <f aca="false">IF(COUNTIF(Holidays!$A$2:$A$40,AH$4)&gt;0,1,0)</f>
        <v>0</v>
      </c>
      <c r="AI67" s="1" t="n">
        <f aca="false">IF(COUNTIF(Holidays!$A$2:$A$40,AI$4)&gt;0,1,0)</f>
        <v>0</v>
      </c>
      <c r="AJ67" s="1" t="n">
        <f aca="false">IF(COUNTIF(Holidays!$A$2:$A$40,AJ$4)&gt;0,1,0)</f>
        <v>0</v>
      </c>
      <c r="AK67" s="1" t="n">
        <f aca="false">IF(COUNTIF(Holidays!$A$2:$A$40,AK$4)&gt;0,1,0)</f>
        <v>0</v>
      </c>
      <c r="AL67" s="1" t="n">
        <f aca="false">IF(COUNTIF(Holidays!$A$2:$A$40,AL$4)&gt;0,1,0)</f>
        <v>0</v>
      </c>
      <c r="AM67" s="1" t="n">
        <f aca="false">IF(COUNTIF(Holidays!$A$2:$A$40,AM$4)&gt;0,1,0)</f>
        <v>0</v>
      </c>
      <c r="AN67" s="1" t="n">
        <f aca="false">IF(COUNTIF(Holidays!$A$2:$A$40,AN$4)&gt;0,1,0)</f>
        <v>0</v>
      </c>
      <c r="AO67" s="1" t="n">
        <f aca="false">IF(COUNTIF(Holidays!$A$2:$A$40,AO$4)&gt;0,1,0)</f>
        <v>0</v>
      </c>
      <c r="AP67" s="1" t="n">
        <f aca="false">IF(COUNTIF(Holidays!$A$2:$A$40,AP$4)&gt;0,1,0)</f>
        <v>0</v>
      </c>
      <c r="AQ67" s="1" t="n">
        <f aca="false">IF(COUNTIF(Holidays!$A$2:$A$40,AQ$4)&gt;0,1,0)</f>
        <v>0</v>
      </c>
      <c r="AR67" s="1" t="n">
        <f aca="false">IF(COUNTIF(Holidays!$A$2:$A$40,AR$4)&gt;0,1,0)</f>
        <v>0</v>
      </c>
      <c r="AS67" s="1" t="n">
        <f aca="false">IF(COUNTIF(Holidays!$A$2:$A$40,AS$4)&gt;0,1,0)</f>
        <v>0</v>
      </c>
      <c r="AT67" s="1" t="n">
        <f aca="false">IF(COUNTIF(Holidays!$A$2:$A$40,AT$4)&gt;0,1,0)</f>
        <v>0</v>
      </c>
      <c r="AU67" s="1" t="n">
        <f aca="false">IF(COUNTIF(Holidays!$A$2:$A$40,AU$4)&gt;0,1,0)</f>
        <v>0</v>
      </c>
      <c r="AV67" s="1" t="n">
        <f aca="false">IF(COUNTIF(Holidays!$A$2:$A$40,AV$4)&gt;0,1,0)</f>
        <v>0</v>
      </c>
      <c r="AW67" s="1" t="n">
        <f aca="false">IF(COUNTIF(Holidays!$A$2:$A$40,AW$4)&gt;0,1,0)</f>
        <v>0</v>
      </c>
    </row>
  </sheetData>
  <autoFilter ref="A4:M62"/>
  <mergeCells count="8">
    <mergeCell ref="N3:O3"/>
    <mergeCell ref="P3:T3"/>
    <mergeCell ref="U3:Y3"/>
    <mergeCell ref="Z3:AD3"/>
    <mergeCell ref="AE3:AI3"/>
    <mergeCell ref="AJ3:AN3"/>
    <mergeCell ref="AO3:AS3"/>
    <mergeCell ref="AT3:AW3"/>
  </mergeCells>
  <conditionalFormatting sqref="AW46:AW62 N5:AW45 N46:AV62">
    <cfRule type="expression" priority="2" aboveAverage="0" equalAverage="0" bottom="0" percent="0" rank="0" text="" dxfId="32">
      <formula>N$67=1</formula>
    </cfRule>
    <cfRule type="expression" priority="3" aboveAverage="0" equalAverage="0" bottom="0" percent="0" rank="0" text="" dxfId="33">
      <formula>AND($A5=$B5,$B5="P0",AND(N$4&gt;=$H5,N$4&lt;=$I5))</formula>
    </cfRule>
    <cfRule type="expression" priority="4" aboveAverage="0" equalAverage="0" bottom="0" percent="0" rank="0" text="" dxfId="34">
      <formula>AND($A5=$B5,$B5="WP1",AND(N$4&gt;=$H5,N$4&lt;=$I5))</formula>
    </cfRule>
    <cfRule type="expression" priority="5" aboveAverage="0" equalAverage="0" bottom="0" percent="0" rank="0" text="" dxfId="35">
      <formula>AND($A5=$B5,$B5="WP2",AND(N$4&gt;=$H5,N$4&lt;=$I5))</formula>
    </cfRule>
    <cfRule type="expression" priority="6" aboveAverage="0" equalAverage="0" bottom="0" percent="0" rank="0" text="" dxfId="36">
      <formula>AND($A5=$B5,$B5="WP3",AND(N$4&gt;=$H5,N$4&lt;=$I5))</formula>
    </cfRule>
    <cfRule type="expression" priority="7" aboveAverage="0" equalAverage="0" bottom="0" percent="0" rank="0" text="" dxfId="37">
      <formula>AND($A5=$B5,$B5="WP4",AND(N$4&gt;=$H5,N$4&lt;=$I5))</formula>
    </cfRule>
    <cfRule type="expression" priority="8" aboveAverage="0" equalAverage="0" bottom="0" percent="0" rank="0" text="" dxfId="38">
      <formula>AND($A5&lt;&gt;$B5,$B5="P0",$D5="Aarón",AND(N$4&gt;=$H5,N$4&lt;=$I5))</formula>
    </cfRule>
    <cfRule type="expression" priority="9" aboveAverage="0" equalAverage="0" bottom="0" percent="0" rank="0" text="" dxfId="39">
      <formula>AND($A5&lt;&gt;$B5,$B5="WP1",$D5="Aarón",AND(N$4&gt;=$H5,N$4&lt;=$I5))</formula>
    </cfRule>
    <cfRule type="expression" priority="10" aboveAverage="0" equalAverage="0" bottom="0" percent="0" rank="0" text="" dxfId="40">
      <formula>AND($A5&lt;&gt;$B5,$B5="WP2",$D5="Aarón",AND(N$4&gt;=$H5,N$4&lt;=$I5))</formula>
    </cfRule>
    <cfRule type="expression" priority="11" aboveAverage="0" equalAverage="0" bottom="0" percent="0" rank="0" text="" dxfId="41">
      <formula>AND($A5&lt;&gt;$B5,$B5="WP3",$D5="Aarón",AND(N$4&gt;=$H5,N$4&lt;=$I5))</formula>
    </cfRule>
    <cfRule type="expression" priority="12" aboveAverage="0" equalAverage="0" bottom="0" percent="0" rank="0" text="" dxfId="42">
      <formula>AND($A5&lt;&gt;$B5,$B5="WP4",$D5="Aarón",AND(N$4&gt;=$H5,N$4&lt;=$I5))</formula>
    </cfRule>
    <cfRule type="expression" priority="13" aboveAverage="0" equalAverage="0" bottom="0" percent="0" rank="0" text="" dxfId="43">
      <formula>AND($A5&lt;&gt;$B5,$B5="P0",$D5="Bruno",AND(N$4&gt;=$H5,N$4&lt;=$I5))</formula>
    </cfRule>
    <cfRule type="expression" priority="14" aboveAverage="0" equalAverage="0" bottom="0" percent="0" rank="0" text="" dxfId="44">
      <formula>AND($A5&lt;&gt;$B5,$B5="WP1",$D5="Bruno",AND(N$4&gt;=$H5,N$4&lt;=$I5))</formula>
    </cfRule>
    <cfRule type="expression" priority="15" aboveAverage="0" equalAverage="0" bottom="0" percent="0" rank="0" text="" dxfId="45">
      <formula>AND($A5&lt;&gt;$B5,$B5="WP2",$D5="Bruno",AND(N$4&gt;=$H5,N$4&lt;=$I5))</formula>
    </cfRule>
    <cfRule type="expression" priority="16" aboveAverage="0" equalAverage="0" bottom="0" percent="0" rank="0" text="" dxfId="46">
      <formula>AND($A5&lt;&gt;$B5,$B5="WP3",$D5="Bruno",AND(N$4&gt;=$H5,N$4&lt;=$I5))</formula>
    </cfRule>
    <cfRule type="expression" priority="17" aboveAverage="0" equalAverage="0" bottom="0" percent="0" rank="0" text="" dxfId="47">
      <formula>AND($A5&lt;&gt;$B5,$B5="WP4",$D5="Bruno",AND(N$4&gt;=$H5,N$4&lt;=$I5))</formula>
    </cfRule>
    <cfRule type="expression" priority="18" aboveAverage="0" equalAverage="0" bottom="0" percent="0" rank="0" text="" dxfId="48">
      <formula>AND($A5&lt;&gt;$B5,$B5="P0",$D5="Ettore",AND(N$4&gt;=$H5,N$4&lt;=$I5))</formula>
    </cfRule>
    <cfRule type="expression" priority="19" aboveAverage="0" equalAverage="0" bottom="0" percent="0" rank="0" text="" dxfId="49">
      <formula>AND($A5&lt;&gt;$B5,$B5="WP1",$D5="Ettore",AND(N$4&gt;=$H5,N$4&lt;=$I5))</formula>
    </cfRule>
    <cfRule type="expression" priority="20" aboveAverage="0" equalAverage="0" bottom="0" percent="0" rank="0" text="" dxfId="50">
      <formula>AND($A5&lt;&gt;$B5,$B5="WP2",$D5="Ettore",AND(N$4&gt;=$H5,N$4&lt;=$I5))</formula>
    </cfRule>
    <cfRule type="expression" priority="21" aboveAverage="0" equalAverage="0" bottom="0" percent="0" rank="0" text="" dxfId="51">
      <formula>AND($A5&lt;&gt;$B5,$B5="WP3",$D5="Ettore",AND(N$4&gt;=$H5,N$4&lt;=$I5))</formula>
    </cfRule>
    <cfRule type="expression" priority="22" aboveAverage="0" equalAverage="0" bottom="0" percent="0" rank="0" text="" dxfId="52">
      <formula>AND($A5&lt;&gt;$B5,$B5="WP4",$D5="Ettore",AND(N$4&gt;=$H5,N$4&lt;=$I5))</formula>
    </cfRule>
    <cfRule type="expression" priority="23" aboveAverage="0" equalAverage="0" bottom="0" percent="0" rank="0" text="" dxfId="53">
      <formula>AND($A5&lt;&gt;$B5,$B5="P0",$D5="Leo",AND(N$4&gt;=$H5,N$4&lt;=$I5))</formula>
    </cfRule>
    <cfRule type="expression" priority="24" aboveAverage="0" equalAverage="0" bottom="0" percent="0" rank="0" text="" dxfId="54">
      <formula>AND($A5&lt;&gt;$B5,$B5="WP1",$D5="Leo",AND(N$4&gt;=$H5,N$4&lt;=$I5))</formula>
    </cfRule>
    <cfRule type="expression" priority="25" aboveAverage="0" equalAverage="0" bottom="0" percent="0" rank="0" text="" dxfId="55">
      <formula>AND($A5&lt;&gt;$B5,$B5="WP2",$D5="Leo",AND(N$4&gt;=$H5,N$4&lt;=$I5))</formula>
    </cfRule>
    <cfRule type="expression" priority="26" aboveAverage="0" equalAverage="0" bottom="0" percent="0" rank="0" text="" dxfId="56">
      <formula>AND($A5&lt;&gt;$B5,$B5="WP3",$D5="Leo",AND(N$4&gt;=$H5,N$4&lt;=$I5))</formula>
    </cfRule>
    <cfRule type="expression" priority="27" aboveAverage="0" equalAverage="0" bottom="0" percent="0" rank="0" text="" dxfId="57">
      <formula>AND($A5&lt;&gt;$B5,$B5="WP4",$D5="Leo",AND(N$4&gt;=$H5,N$4&lt;=$I5))</formula>
    </cfRule>
    <cfRule type="expression" priority="28" aboveAverage="0" equalAverage="0" bottom="0" percent="0" rank="0" text="" dxfId="58">
      <formula>AND($A5&lt;&gt;$B5,$B5="P0",$D5="Pol",AND(N$4&gt;=$H5,N$4&lt;=$I5))</formula>
    </cfRule>
    <cfRule type="expression" priority="29" aboveAverage="0" equalAverage="0" bottom="0" percent="0" rank="0" text="" dxfId="59">
      <formula>AND($A5&lt;&gt;$B5,$B5="WP1",$D5="Pol",AND(N$4&gt;=$H5,N$4&lt;=$I5))</formula>
    </cfRule>
    <cfRule type="expression" priority="30" aboveAverage="0" equalAverage="0" bottom="0" percent="0" rank="0" text="" dxfId="60">
      <formula>AND($A5&lt;&gt;$B5,$B5="WP2",$D5="Pol",AND(N$4&gt;=$H5,N$4&lt;=$I5))</formula>
    </cfRule>
    <cfRule type="expression" priority="31" aboveAverage="0" equalAverage="0" bottom="0" percent="0" rank="0" text="" dxfId="61">
      <formula>AND($A5&lt;&gt;$B5,$B5="WP3",$D5="Pol",AND(N$4&gt;=$H5,N$4&lt;=$I5))</formula>
    </cfRule>
    <cfRule type="expression" priority="32" aboveAverage="0" equalAverage="0" bottom="0" percent="0" rank="0" text="" dxfId="62">
      <formula>AND($A5&lt;&gt;$B5,$B5="WP4",$D5="Pol",AND(N$4&gt;=$H5,N$4&lt;=$I5))</formula>
    </cfRule>
    <cfRule type="expression" priority="33" aboveAverage="0" equalAverage="0" bottom="0" percent="0" rank="0" text="" dxfId="63">
      <formula>AND($A5&lt;&gt;$B5,$B5="P0",$D5="All",AND(N$4&gt;=$H5,N$4&lt;=$I5))</formula>
    </cfRule>
    <cfRule type="expression" priority="34" aboveAverage="0" equalAverage="0" bottom="0" percent="0" rank="0" text="" dxfId="64">
      <formula>AND($A5&lt;&gt;$B5,$B5="WP1",$D5="All",AND(N$4&gt;=$H5,N$4&lt;=$I5))</formula>
    </cfRule>
    <cfRule type="expression" priority="35" aboveAverage="0" equalAverage="0" bottom="0" percent="0" rank="0" text="" dxfId="65">
      <formula>AND($A5&lt;&gt;$B5,$B5="WP2",$D5="All",AND(N$4&gt;=$H5,N$4&lt;=$I5))</formula>
    </cfRule>
    <cfRule type="expression" priority="36" aboveAverage="0" equalAverage="0" bottom="0" percent="0" rank="0" text="" dxfId="66">
      <formula>AND($A5&lt;&gt;$B5,$B5="WP3",$D5="All",AND(N$4&gt;=$H5,N$4&lt;=$I5))</formula>
    </cfRule>
    <cfRule type="expression" priority="37" aboveAverage="0" equalAverage="0" bottom="0" percent="0" rank="0" text="" dxfId="67">
      <formula>AND($A5&lt;&gt;$B5,$B5="WP4",$D5="All",AND(N$4&gt;=$H5,N$4&lt;=$I5))</formula>
    </cfRule>
  </conditionalFormatting>
  <conditionalFormatting sqref="N4:AW4">
    <cfRule type="expression" priority="38" aboveAverage="0" equalAverage="0" bottom="0" percent="0" rank="0" text="" dxfId="68">
      <formula>N4=TODAY()</formula>
    </cfRule>
  </conditionalFormatting>
  <conditionalFormatting sqref="L5:L62">
    <cfRule type="expression" priority="39" aboveAverage="0" equalAverage="0" bottom="0" percent="0" rank="0" text="" dxfId="69">
      <formula>$L5="Completed"</formula>
    </cfRule>
    <cfRule type="expression" priority="40" aboveAverage="0" equalAverage="0" bottom="0" percent="0" rank="0" text="" dxfId="70">
      <formula>$L5="In progress"</formula>
    </cfRule>
    <cfRule type="expression" priority="41" aboveAverage="0" equalAverage="0" bottom="0" percent="0" rank="0" text="" dxfId="71">
      <formula>$L5="Incident"</formula>
    </cfRule>
    <cfRule type="expression" priority="42" aboveAverage="0" equalAverage="0" bottom="0" percent="0" rank="0" text="" dxfId="72">
      <formula>$L5="Canceled"</formula>
    </cfRule>
    <cfRule type="expression" priority="43" aboveAverage="0" equalAverage="0" bottom="0" percent="0" rank="0" text="" dxfId="73">
      <formula>$L5="Canceled"</formula>
    </cfRule>
    <cfRule type="expression" priority="44" aboveAverage="0" equalAverage="0" bottom="0" percent="0" rank="0" text="" dxfId="74">
      <formula>$L5="Completed"</formula>
    </cfRule>
    <cfRule type="expression" priority="45" aboveAverage="0" equalAverage="0" bottom="0" percent="0" rank="0" text="" dxfId="75">
      <formula>$L5="Incident"</formula>
    </cfRule>
    <cfRule type="expression" priority="46" aboveAverage="0" equalAverage="0" bottom="0" percent="0" rank="0" text="" dxfId="76">
      <formula>$L5="In progress"</formula>
    </cfRule>
    <cfRule type="expression" priority="47" aboveAverage="0" equalAverage="0" bottom="0" percent="0" rank="0" text="" dxfId="77">
      <formula>$L5="Backlog"</formula>
    </cfRule>
    <cfRule type="expression" priority="48" aboveAverage="0" equalAverage="0" bottom="0" percent="0" rank="0" text="" dxfId="78">
      <formula>$L5="Pending"</formula>
    </cfRule>
  </conditionalFormatting>
  <dataValidations count="1">
    <dataValidation allowBlank="false" errorStyle="stop" operator="between" showDropDown="false" showErrorMessage="false" showInputMessage="false" sqref="D5:D62" type="list">
      <formula1>"Aarón,Bruno,Ettore,Leo,Pol,All"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1"/>
    <col collapsed="false" customWidth="true" hidden="false" outlineLevel="0" max="8" min="8" style="1" width="10"/>
    <col collapsed="false" customWidth="true" hidden="false" outlineLevel="0" max="9" min="9" style="1" width="28"/>
  </cols>
  <sheetData>
    <row r="1" customFormat="false" ht="15.75" hidden="false" customHeight="true" outlineLevel="0" collapsed="false">
      <c r="A1" s="66" t="s">
        <v>357</v>
      </c>
    </row>
    <row r="3" customFormat="false" ht="27.75" hidden="false" customHeight="true" outlineLevel="0" collapsed="false">
      <c r="A3" s="12" t="s">
        <v>154</v>
      </c>
      <c r="B3" s="12" t="s">
        <v>358</v>
      </c>
      <c r="C3" s="12" t="s">
        <v>359</v>
      </c>
      <c r="D3" s="12" t="s">
        <v>360</v>
      </c>
      <c r="E3" s="12" t="s">
        <v>361</v>
      </c>
      <c r="F3" s="12" t="s">
        <v>34</v>
      </c>
      <c r="G3" s="12" t="s">
        <v>144</v>
      </c>
      <c r="H3" s="12" t="s">
        <v>362</v>
      </c>
      <c r="I3" s="67" t="s">
        <v>363</v>
      </c>
    </row>
    <row r="4" customFormat="false" ht="15" hidden="false" customHeight="false" outlineLevel="0" collapsed="false">
      <c r="A4" s="68" t="s">
        <v>43</v>
      </c>
      <c r="B4" s="69" t="s">
        <v>364</v>
      </c>
      <c r="C4" s="69" t="s">
        <v>365</v>
      </c>
      <c r="D4" s="69" t="n">
        <f aca="false">COUNTIFS(Tasks!$D$5:$D$62,A4,Tasks!$B$5:$B$62,"&lt;&gt;P0",Tasks!$A$5:$A$62,"&lt;&gt;WP*")</f>
        <v>8</v>
      </c>
      <c r="E4" s="69" t="n">
        <f aca="false">SUMIFS(Tasks!$F$5:$F$62,Tasks!$D$5:$D$62,A4,Tasks!$B$5:$B$62,"&lt;&gt;P0")</f>
        <v>11</v>
      </c>
      <c r="F4" s="69" t="n">
        <f aca="false">COUNTIFS(Tasks!$D$5:$D$62,A4,Tasks!$L$5:$L$62,"Completed",Tasks!$B$5:$B$62,"&lt;&gt;P0")</f>
        <v>7</v>
      </c>
      <c r="G4" s="69" t="n">
        <f aca="false">COUNTIFS(Tasks!$D$5:$D$62,A4,Tasks!$L$5:$L$62,"In progress")</f>
        <v>0</v>
      </c>
      <c r="H4" s="69" t="n">
        <f aca="false">COUNTIFS(Tasks!$D$5:$D$62,A4,Tasks!$L$5:$L$62,"Incident")</f>
        <v>0</v>
      </c>
      <c r="I4" s="70" t="s">
        <v>366</v>
      </c>
    </row>
    <row r="5" customFormat="false" ht="15" hidden="false" customHeight="false" outlineLevel="0" collapsed="false">
      <c r="A5" s="71" t="s">
        <v>56</v>
      </c>
      <c r="B5" s="69" t="s">
        <v>367</v>
      </c>
      <c r="C5" s="69" t="s">
        <v>368</v>
      </c>
      <c r="D5" s="69" t="n">
        <f aca="false">COUNTIFS(Tasks!$D$5:$D$62,A5,Tasks!$B$5:$B$62,"&lt;&gt;P0",Tasks!$A$5:$A$62,"&lt;&gt;WP*")</f>
        <v>8</v>
      </c>
      <c r="E5" s="69" t="n">
        <f aca="false">SUMIFS(Tasks!$F$5:$F$62,Tasks!$D$5:$D$62,A5,Tasks!$B$5:$B$62,"&lt;&gt;P0")</f>
        <v>11</v>
      </c>
      <c r="F5" s="69" t="n">
        <f aca="false">COUNTIFS(Tasks!$D$5:$D$62,A5,Tasks!$L$5:$L$62,"Completed",Tasks!$B$5:$B$62,"&lt;&gt;P0")</f>
        <v>6</v>
      </c>
      <c r="G5" s="69" t="n">
        <f aca="false">COUNTIFS(Tasks!$D$5:$D$62,A5,Tasks!$L$5:$L$62,"In progress")</f>
        <v>0</v>
      </c>
      <c r="H5" s="69" t="n">
        <f aca="false">COUNTIFS(Tasks!$D$5:$D$62,A5,Tasks!$L$5:$L$62,"Incident")</f>
        <v>0</v>
      </c>
      <c r="I5" s="70" t="s">
        <v>369</v>
      </c>
    </row>
    <row r="6" customFormat="false" ht="15" hidden="false" customHeight="false" outlineLevel="0" collapsed="false">
      <c r="A6" s="72" t="s">
        <v>37</v>
      </c>
      <c r="B6" s="69" t="s">
        <v>370</v>
      </c>
      <c r="C6" s="69" t="s">
        <v>371</v>
      </c>
      <c r="D6" s="69" t="n">
        <f aca="false">COUNTIFS(Tasks!$D$5:$D$62,A6,Tasks!$B$5:$B$62,"&lt;&gt;P0",Tasks!$A$5:$A$62,"&lt;&gt;WP*")</f>
        <v>9</v>
      </c>
      <c r="E6" s="69" t="n">
        <f aca="false">SUMIFS(Tasks!$F$5:$F$62,Tasks!$D$5:$D$62,A6,Tasks!$B$5:$B$62,"&lt;&gt;P0")</f>
        <v>11</v>
      </c>
      <c r="F6" s="69" t="n">
        <f aca="false">COUNTIFS(Tasks!$D$5:$D$62,A6,Tasks!$L$5:$L$62,"Completed",Tasks!$B$5:$B$62,"&lt;&gt;P0")</f>
        <v>8</v>
      </c>
      <c r="G6" s="69" t="n">
        <f aca="false">COUNTIFS(Tasks!$D$5:$D$62,A6,Tasks!$L$5:$L$62,"In progress")</f>
        <v>0</v>
      </c>
      <c r="H6" s="69" t="n">
        <f aca="false">COUNTIFS(Tasks!$D$5:$D$62,A6,Tasks!$L$5:$L$62,"Incident")</f>
        <v>0</v>
      </c>
      <c r="I6" s="70" t="s">
        <v>372</v>
      </c>
    </row>
    <row r="7" customFormat="false" ht="15" hidden="false" customHeight="false" outlineLevel="0" collapsed="false">
      <c r="A7" s="73" t="s">
        <v>33</v>
      </c>
      <c r="B7" s="69" t="s">
        <v>373</v>
      </c>
      <c r="C7" s="69" t="s">
        <v>374</v>
      </c>
      <c r="D7" s="69" t="n">
        <f aca="false">COUNTIFS(Tasks!$D$5:$D$62,A7,Tasks!$B$5:$B$62,"&lt;&gt;P0",Tasks!$A$5:$A$62,"&lt;&gt;WP*")</f>
        <v>10</v>
      </c>
      <c r="E7" s="69" t="n">
        <f aca="false">SUMIFS(Tasks!$F$5:$F$62,Tasks!$D$5:$D$62,A7,Tasks!$B$5:$B$62,"&lt;&gt;P0")</f>
        <v>12</v>
      </c>
      <c r="F7" s="69" t="n">
        <f aca="false">COUNTIFS(Tasks!$D$5:$D$62,A7,Tasks!$L$5:$L$62,"Completed",Tasks!$B$5:$B$62,"&lt;&gt;P0")</f>
        <v>8</v>
      </c>
      <c r="G7" s="69" t="n">
        <f aca="false">COUNTIFS(Tasks!$D$5:$D$62,A7,Tasks!$L$5:$L$62,"In progress")</f>
        <v>0</v>
      </c>
      <c r="H7" s="69" t="n">
        <f aca="false">COUNTIFS(Tasks!$D$5:$D$62,A7,Tasks!$L$5:$L$62,"Incident")</f>
        <v>0</v>
      </c>
      <c r="I7" s="70" t="s">
        <v>375</v>
      </c>
    </row>
    <row r="8" customFormat="false" ht="15" hidden="false" customHeight="false" outlineLevel="0" collapsed="false">
      <c r="A8" s="74" t="s">
        <v>59</v>
      </c>
      <c r="B8" s="69" t="s">
        <v>376</v>
      </c>
      <c r="C8" s="69" t="s">
        <v>377</v>
      </c>
      <c r="D8" s="69" t="n">
        <f aca="false">COUNTIFS(Tasks!$D$5:$D$62,A8,Tasks!$B$5:$B$62,"&lt;&gt;P0",Tasks!$A$5:$A$62,"&lt;&gt;WP*")</f>
        <v>8</v>
      </c>
      <c r="E8" s="69" t="n">
        <f aca="false">SUMIFS(Tasks!$F$5:$F$62,Tasks!$D$5:$D$62,A8,Tasks!$B$5:$B$62,"&lt;&gt;P0")</f>
        <v>11</v>
      </c>
      <c r="F8" s="69" t="n">
        <f aca="false">COUNTIFS(Tasks!$D$5:$D$62,A8,Tasks!$L$5:$L$62,"Completed",Tasks!$B$5:$B$62,"&lt;&gt;P0")</f>
        <v>6</v>
      </c>
      <c r="G8" s="69" t="n">
        <f aca="false">COUNTIFS(Tasks!$D$5:$D$62,A8,Tasks!$L$5:$L$62,"In progress")</f>
        <v>0</v>
      </c>
      <c r="H8" s="69" t="n">
        <f aca="false">COUNTIFS(Tasks!$D$5:$D$62,A8,Tasks!$L$5:$L$62,"Incident")</f>
        <v>0</v>
      </c>
      <c r="I8" s="70" t="s">
        <v>378</v>
      </c>
    </row>
    <row r="9" customFormat="false" ht="15" hidden="false" customHeight="false" outlineLevel="0" collapsed="false">
      <c r="A9" s="75" t="s">
        <v>379</v>
      </c>
      <c r="D9" s="75" t="n">
        <f aca="false">SUM(D4:D8)</f>
        <v>43</v>
      </c>
      <c r="E9" s="75" t="n">
        <f aca="false">SUM(E4:E8)</f>
        <v>56</v>
      </c>
      <c r="F9" s="75" t="n">
        <f aca="false">SUM(F4:F8)</f>
        <v>35</v>
      </c>
      <c r="G9" s="75" t="n">
        <f aca="false">SUM(G4:G8)</f>
        <v>0</v>
      </c>
      <c r="H9" s="75" t="n">
        <f aca="false">SUM(H4:H8)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4" min="3" style="1" width="18"/>
    <col collapsed="false" customWidth="true" hidden="false" outlineLevel="0" max="5" min="5" style="1" width="12"/>
    <col collapsed="false" customWidth="true" hidden="false" outlineLevel="0" max="6" min="6" style="1" width="30"/>
    <col collapsed="false" customWidth="true" hidden="false" outlineLevel="0" max="7" min="7" style="1" width="12"/>
  </cols>
  <sheetData>
    <row r="1" customFormat="false" ht="42" hidden="false" customHeight="true" outlineLevel="0" collapsed="false">
      <c r="A1" s="12" t="s">
        <v>152</v>
      </c>
      <c r="B1" s="12" t="s">
        <v>380</v>
      </c>
      <c r="C1" s="12" t="s">
        <v>381</v>
      </c>
      <c r="D1" s="12" t="s">
        <v>382</v>
      </c>
      <c r="E1" s="12" t="s">
        <v>29</v>
      </c>
      <c r="F1" s="12" t="s">
        <v>383</v>
      </c>
      <c r="G1" s="12" t="s">
        <v>162</v>
      </c>
    </row>
    <row r="2" customFormat="false" ht="15" hidden="false" customHeight="false" outlineLevel="0" collapsed="false">
      <c r="A2" s="69" t="s">
        <v>384</v>
      </c>
      <c r="B2" s="69" t="s">
        <v>385</v>
      </c>
      <c r="C2" s="76" t="n">
        <v>46282</v>
      </c>
      <c r="D2" s="77" t="n">
        <v>46282</v>
      </c>
      <c r="E2" s="78" t="s">
        <v>34</v>
      </c>
      <c r="F2" s="69" t="s">
        <v>386</v>
      </c>
      <c r="G2" s="69" t="n">
        <f aca="false">IF(D2="","",IF(D2&gt;=C2,NETWORKDAYS(C2,D2,Holidays!$A$2:$A$40)-1,-(NETWORKDAYS(D2,C2,Holidays!$A$2:$A$40)-1)))</f>
        <v>0</v>
      </c>
    </row>
    <row r="3" customFormat="false" ht="15" hidden="false" customHeight="false" outlineLevel="0" collapsed="false">
      <c r="A3" s="69" t="s">
        <v>387</v>
      </c>
      <c r="B3" s="69" t="s">
        <v>388</v>
      </c>
      <c r="C3" s="76" t="n">
        <v>46304</v>
      </c>
      <c r="D3" s="77" t="n">
        <v>46304</v>
      </c>
      <c r="E3" s="78" t="s">
        <v>34</v>
      </c>
      <c r="F3" s="69" t="s">
        <v>389</v>
      </c>
      <c r="G3" s="69" t="n">
        <f aca="false">IF(D3="","",IF(D3&gt;=C3,NETWORKDAYS(C3,D3,Holidays!$A$2:$A$40)-1,-(NETWORKDAYS(D3,C3,Holidays!$A$2:$A$40)-1)))</f>
        <v>0</v>
      </c>
    </row>
    <row r="4" customFormat="false" ht="15" hidden="false" customHeight="false" outlineLevel="0" collapsed="false">
      <c r="A4" s="69" t="s">
        <v>390</v>
      </c>
      <c r="B4" s="69" t="s">
        <v>391</v>
      </c>
      <c r="C4" s="76" t="n">
        <v>46314</v>
      </c>
      <c r="D4" s="77" t="n">
        <v>46321</v>
      </c>
      <c r="E4" s="78" t="s">
        <v>34</v>
      </c>
      <c r="F4" s="69" t="s">
        <v>392</v>
      </c>
      <c r="G4" s="69" t="n">
        <f aca="false">IF(D4="","",IF(D4&gt;=C4,NETWORKDAYS(C4,D4,Holidays!$A$2:$A$40)-1,-(NETWORKDAYS(D4,C4,Holidays!$A$2:$A$40)-1)))</f>
        <v>5</v>
      </c>
    </row>
    <row r="5" customFormat="false" ht="15" hidden="false" customHeight="false" outlineLevel="0" collapsed="false">
      <c r="A5" s="69" t="s">
        <v>393</v>
      </c>
      <c r="B5" s="69" t="s">
        <v>394</v>
      </c>
      <c r="C5" s="76" t="n">
        <v>46316</v>
      </c>
      <c r="D5" s="77" t="n">
        <v>46320</v>
      </c>
      <c r="E5" s="78" t="s">
        <v>34</v>
      </c>
      <c r="F5" s="69" t="s">
        <v>395</v>
      </c>
      <c r="G5" s="69" t="n">
        <f aca="false">IF(D5="","",IF(D5&gt;=C5,NETWORKDAYS(C5,D5,Holidays!$A$2:$A$40)-1,-(NETWORKDAYS(D5,C5,Holidays!$A$2:$A$40)-1)))</f>
        <v>2</v>
      </c>
    </row>
    <row r="6" customFormat="false" ht="15" hidden="false" customHeight="false" outlineLevel="0" collapsed="false">
      <c r="A6" s="69" t="s">
        <v>396</v>
      </c>
      <c r="B6" s="69" t="s">
        <v>397</v>
      </c>
      <c r="C6" s="76" t="n">
        <v>46317</v>
      </c>
      <c r="D6" s="77" t="n">
        <v>46317</v>
      </c>
      <c r="E6" s="78" t="s">
        <v>34</v>
      </c>
      <c r="F6" s="69" t="s">
        <v>398</v>
      </c>
      <c r="G6" s="69" t="n">
        <f aca="false">IF(D6="","",IF(D6&gt;=C6,NETWORKDAYS(C6,D6,Holidays!$A$2:$A$40)-1,-(NETWORKDAYS(D6,C6,Holidays!$A$2:$A$40)-1)))</f>
        <v>0</v>
      </c>
    </row>
    <row r="7" customFormat="false" ht="15" hidden="false" customHeight="false" outlineLevel="0" collapsed="false">
      <c r="A7" s="69" t="s">
        <v>399</v>
      </c>
      <c r="B7" s="69" t="s">
        <v>400</v>
      </c>
      <c r="C7" s="76" t="n">
        <v>46321</v>
      </c>
      <c r="D7" s="77" t="n">
        <v>46321</v>
      </c>
      <c r="E7" s="78" t="s">
        <v>34</v>
      </c>
      <c r="F7" s="69" t="s">
        <v>401</v>
      </c>
      <c r="G7" s="69" t="n">
        <f aca="false">IF(D7="","",IF(D7&gt;=C7,NETWORKDAYS(C7,D7,Holidays!$A$2:$A$40)-1,-(NETWORKDAYS(D7,C7,Holidays!$A$2:$A$40)-1)))</f>
        <v>0</v>
      </c>
    </row>
    <row r="8" customFormat="false" ht="15" hidden="false" customHeight="false" outlineLevel="0" collapsed="false">
      <c r="A8" s="69" t="s">
        <v>402</v>
      </c>
      <c r="B8" s="69" t="s">
        <v>403</v>
      </c>
      <c r="C8" s="76" t="n">
        <v>46323</v>
      </c>
      <c r="D8" s="77" t="n">
        <v>46321</v>
      </c>
      <c r="E8" s="78" t="s">
        <v>34</v>
      </c>
      <c r="F8" s="69" t="s">
        <v>389</v>
      </c>
      <c r="G8" s="69" t="n">
        <f aca="false">IF(D8="","",IF(D8&gt;=C8,NETWORKDAYS(C8,D8,Holidays!$A$2:$A$40)-1,-(NETWORKDAYS(D8,C8,Holidays!$A$2:$A$40)-1)))</f>
        <v>-2</v>
      </c>
    </row>
    <row r="9" customFormat="false" ht="15" hidden="false" customHeight="false" outlineLevel="0" collapsed="false">
      <c r="A9" s="69" t="s">
        <v>404</v>
      </c>
      <c r="B9" s="69" t="s">
        <v>405</v>
      </c>
      <c r="C9" s="76" t="n">
        <v>46331</v>
      </c>
      <c r="D9" s="77"/>
      <c r="E9" s="78" t="s">
        <v>132</v>
      </c>
      <c r="F9" s="69" t="s">
        <v>406</v>
      </c>
      <c r="G9" s="69" t="str">
        <f aca="false">IF(D9="","",IF(D9&gt;=C9,NETWORKDAYS(C9,D9,Holidays!$A$2:$A$40)-1,-(NETWORKDAYS(D9,C9,Holidays!$A$2:$A$40)-1)))</f>
        <v/>
      </c>
    </row>
  </sheetData>
  <dataValidations count="1">
    <dataValidation allowBlank="false" errorStyle="stop" operator="between" showDropDown="false" showErrorMessage="false" showInputMessage="false" sqref="E2:E9" type="list">
      <formula1>"Backlog,Pending,In progress,Completed,Incident,Canceled"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3" min="3" style="1" width="10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false" outlineLevel="0" max="7" min="6" style="1" width="9"/>
    <col collapsed="false" customWidth="true" hidden="false" outlineLevel="0" max="8" min="8" style="1" width="15"/>
    <col collapsed="false" customWidth="true" hidden="false" outlineLevel="0" max="9" min="9" style="1" width="60"/>
    <col collapsed="false" customWidth="true" hidden="false" outlineLevel="0" max="10" min="10" style="1" width="12"/>
    <col collapsed="false" customWidth="true" hidden="false" outlineLevel="0" max="11" min="11" style="1" width="30"/>
  </cols>
  <sheetData>
    <row r="1" customFormat="false" ht="15.75" hidden="false" customHeight="true" outlineLevel="0" collapsed="false">
      <c r="A1" s="66" t="s">
        <v>407</v>
      </c>
    </row>
    <row r="3" customFormat="false" ht="15" hidden="false" customHeight="false" outlineLevel="0" collapsed="false">
      <c r="A3" s="12" t="s">
        <v>152</v>
      </c>
      <c r="B3" s="12" t="s">
        <v>408</v>
      </c>
      <c r="C3" s="12" t="s">
        <v>409</v>
      </c>
      <c r="D3" s="12" t="s">
        <v>410</v>
      </c>
      <c r="E3" s="12" t="s">
        <v>411</v>
      </c>
      <c r="F3" s="12" t="s">
        <v>412</v>
      </c>
      <c r="G3" s="12" t="s">
        <v>154</v>
      </c>
      <c r="H3" s="12" t="s">
        <v>29</v>
      </c>
      <c r="I3" s="12" t="s">
        <v>413</v>
      </c>
      <c r="J3" s="12" t="s">
        <v>414</v>
      </c>
      <c r="K3" s="12" t="s">
        <v>30</v>
      </c>
    </row>
    <row r="4" customFormat="false" ht="27.75" hidden="false" customHeight="true" outlineLevel="0" collapsed="false">
      <c r="A4" s="79" t="s">
        <v>415</v>
      </c>
      <c r="B4" s="15" t="s">
        <v>416</v>
      </c>
      <c r="C4" s="80" t="n">
        <v>2</v>
      </c>
      <c r="D4" s="80" t="n">
        <v>3</v>
      </c>
      <c r="E4" s="81" t="n">
        <f aca="false">C4*D4</f>
        <v>6</v>
      </c>
      <c r="F4" s="81" t="str">
        <f aca="false">IF(E4&gt;=6,"High",IF(E4&gt;=3,"Medium","Low"))</f>
        <v>High</v>
      </c>
      <c r="G4" s="21" t="s">
        <v>37</v>
      </c>
      <c r="H4" s="80" t="s">
        <v>417</v>
      </c>
      <c r="I4" s="15" t="s">
        <v>418</v>
      </c>
      <c r="J4" s="82" t="n">
        <v>46313</v>
      </c>
      <c r="K4" s="20" t="s">
        <v>419</v>
      </c>
    </row>
    <row r="5" customFormat="false" ht="27.75" hidden="false" customHeight="true" outlineLevel="0" collapsed="false">
      <c r="A5" s="79" t="s">
        <v>420</v>
      </c>
      <c r="B5" s="15" t="s">
        <v>421</v>
      </c>
      <c r="C5" s="80" t="n">
        <v>2</v>
      </c>
      <c r="D5" s="80" t="n">
        <v>3</v>
      </c>
      <c r="E5" s="81" t="n">
        <f aca="false">C5*D5</f>
        <v>6</v>
      </c>
      <c r="F5" s="81" t="str">
        <f aca="false">IF(E5&gt;=6,"High",IF(E5&gt;=3,"Medium","Low"))</f>
        <v>High</v>
      </c>
      <c r="G5" s="27" t="s">
        <v>56</v>
      </c>
      <c r="H5" s="80" t="s">
        <v>417</v>
      </c>
      <c r="I5" s="15" t="s">
        <v>422</v>
      </c>
      <c r="J5" s="82" t="n">
        <v>46313</v>
      </c>
      <c r="K5" s="20" t="s">
        <v>419</v>
      </c>
    </row>
    <row r="6" customFormat="false" ht="27.75" hidden="false" customHeight="true" outlineLevel="0" collapsed="false">
      <c r="A6" s="79" t="s">
        <v>423</v>
      </c>
      <c r="B6" s="15" t="s">
        <v>424</v>
      </c>
      <c r="C6" s="80" t="n">
        <v>2</v>
      </c>
      <c r="D6" s="80" t="n">
        <v>3</v>
      </c>
      <c r="E6" s="81" t="n">
        <f aca="false">C6*D6</f>
        <v>6</v>
      </c>
      <c r="F6" s="81" t="str">
        <f aca="false">IF(E6&gt;=6,"High",IF(E6&gt;=3,"Medium","Low"))</f>
        <v>High</v>
      </c>
      <c r="G6" s="26" t="s">
        <v>59</v>
      </c>
      <c r="H6" s="80" t="s">
        <v>417</v>
      </c>
      <c r="I6" s="15" t="s">
        <v>425</v>
      </c>
      <c r="J6" s="82" t="n">
        <v>46313</v>
      </c>
      <c r="K6" s="20" t="s">
        <v>419</v>
      </c>
    </row>
    <row r="7" customFormat="false" ht="27.75" hidden="false" customHeight="true" outlineLevel="0" collapsed="false">
      <c r="A7" s="79" t="s">
        <v>426</v>
      </c>
      <c r="B7" s="15" t="s">
        <v>427</v>
      </c>
      <c r="C7" s="80" t="n">
        <v>3</v>
      </c>
      <c r="D7" s="80" t="n">
        <v>2</v>
      </c>
      <c r="E7" s="81" t="n">
        <f aca="false">C7*D7</f>
        <v>6</v>
      </c>
      <c r="F7" s="81" t="str">
        <f aca="false">IF(E7&gt;=6,"High",IF(E7&gt;=3,"Medium","Low"))</f>
        <v>High</v>
      </c>
      <c r="G7" s="21" t="s">
        <v>33</v>
      </c>
      <c r="H7" s="80" t="s">
        <v>417</v>
      </c>
      <c r="I7" s="15" t="s">
        <v>428</v>
      </c>
      <c r="J7" s="82" t="n">
        <v>46313</v>
      </c>
      <c r="K7" s="20" t="s">
        <v>419</v>
      </c>
    </row>
    <row r="8" customFormat="false" ht="27.75" hidden="false" customHeight="true" outlineLevel="0" collapsed="false">
      <c r="A8" s="79" t="s">
        <v>429</v>
      </c>
      <c r="B8" s="15" t="s">
        <v>430</v>
      </c>
      <c r="C8" s="80" t="n">
        <v>2</v>
      </c>
      <c r="D8" s="80" t="n">
        <v>2</v>
      </c>
      <c r="E8" s="81" t="n">
        <f aca="false">C8*D8</f>
        <v>4</v>
      </c>
      <c r="F8" s="81" t="str">
        <f aca="false">IF(E8&gt;=6,"High",IF(E8&gt;=3,"Medium","Low"))</f>
        <v>Medium</v>
      </c>
      <c r="G8" s="26" t="s">
        <v>43</v>
      </c>
      <c r="H8" s="80" t="s">
        <v>417</v>
      </c>
      <c r="I8" s="15" t="s">
        <v>431</v>
      </c>
      <c r="J8" s="82" t="n">
        <v>46313</v>
      </c>
      <c r="K8" s="20" t="s">
        <v>419</v>
      </c>
    </row>
    <row r="9" customFormat="false" ht="27.75" hidden="false" customHeight="true" outlineLevel="0" collapsed="false">
      <c r="A9" s="79" t="s">
        <v>432</v>
      </c>
      <c r="B9" s="15" t="s">
        <v>433</v>
      </c>
      <c r="C9" s="80" t="n">
        <v>2</v>
      </c>
      <c r="D9" s="80" t="n">
        <v>2</v>
      </c>
      <c r="E9" s="81" t="n">
        <f aca="false">C9*D9</f>
        <v>4</v>
      </c>
      <c r="F9" s="81" t="str">
        <f aca="false">IF(E9&gt;=6,"High",IF(E9&gt;=3,"Medium","Low"))</f>
        <v>Medium</v>
      </c>
      <c r="G9" s="27" t="s">
        <v>59</v>
      </c>
      <c r="H9" s="80" t="s">
        <v>417</v>
      </c>
      <c r="I9" s="15" t="s">
        <v>434</v>
      </c>
      <c r="J9" s="82" t="n">
        <v>46313</v>
      </c>
      <c r="K9" s="20" t="s">
        <v>419</v>
      </c>
    </row>
    <row r="10" customFormat="false" ht="27.75" hidden="false" customHeight="true" outlineLevel="0" collapsed="false">
      <c r="A10" s="79" t="s">
        <v>435</v>
      </c>
      <c r="B10" s="15" t="s">
        <v>436</v>
      </c>
      <c r="C10" s="80" t="n">
        <v>1</v>
      </c>
      <c r="D10" s="80" t="n">
        <v>3</v>
      </c>
      <c r="E10" s="81" t="n">
        <f aca="false">C10*D10</f>
        <v>3</v>
      </c>
      <c r="F10" s="81" t="str">
        <f aca="false">IF(E10&gt;=6,"High",IF(E10&gt;=3,"Medium","Low"))</f>
        <v>Medium</v>
      </c>
      <c r="G10" s="16" t="s">
        <v>37</v>
      </c>
      <c r="H10" s="80" t="s">
        <v>417</v>
      </c>
      <c r="I10" s="15" t="s">
        <v>437</v>
      </c>
      <c r="J10" s="82" t="n">
        <v>46313</v>
      </c>
      <c r="K10" s="20" t="s">
        <v>419</v>
      </c>
    </row>
    <row r="11" customFormat="false" ht="27.75" hidden="false" customHeight="true" outlineLevel="0" collapsed="false">
      <c r="A11" s="79" t="s">
        <v>438</v>
      </c>
      <c r="B11" s="15" t="s">
        <v>439</v>
      </c>
      <c r="C11" s="80" t="n">
        <v>1</v>
      </c>
      <c r="D11" s="80" t="n">
        <v>2</v>
      </c>
      <c r="E11" s="81" t="n">
        <f aca="false">C11*D11</f>
        <v>2</v>
      </c>
      <c r="F11" s="81" t="str">
        <f aca="false">IF(E11&gt;=6,"High",IF(E11&gt;=3,"Medium","Low"))</f>
        <v>Low</v>
      </c>
      <c r="G11" s="16" t="s">
        <v>33</v>
      </c>
      <c r="H11" s="80" t="s">
        <v>417</v>
      </c>
      <c r="I11" s="15" t="s">
        <v>440</v>
      </c>
      <c r="J11" s="82" t="n">
        <v>46313</v>
      </c>
      <c r="K11" s="20" t="s">
        <v>419</v>
      </c>
    </row>
    <row r="12" customFormat="false" ht="27.75" hidden="false" customHeight="true" outlineLevel="0" collapsed="false">
      <c r="A12" s="79" t="s">
        <v>441</v>
      </c>
      <c r="B12" s="15" t="s">
        <v>442</v>
      </c>
      <c r="C12" s="80" t="n">
        <v>2</v>
      </c>
      <c r="D12" s="80" t="n">
        <v>1</v>
      </c>
      <c r="E12" s="81" t="n">
        <f aca="false">C12*D12</f>
        <v>2</v>
      </c>
      <c r="F12" s="81" t="str">
        <f aca="false">IF(E12&gt;=6,"High",IF(E12&gt;=3,"Medium","Low"))</f>
        <v>Low</v>
      </c>
      <c r="G12" s="23" t="s">
        <v>43</v>
      </c>
      <c r="H12" s="80" t="s">
        <v>417</v>
      </c>
      <c r="I12" s="15" t="s">
        <v>443</v>
      </c>
      <c r="J12" s="82" t="n">
        <v>46313</v>
      </c>
      <c r="K12" s="20" t="s">
        <v>419</v>
      </c>
    </row>
    <row r="13" customFormat="false" ht="27.75" hidden="false" customHeight="true" outlineLevel="0" collapsed="false">
      <c r="A13" s="79"/>
      <c r="B13" s="15"/>
      <c r="C13" s="80"/>
      <c r="D13" s="80"/>
      <c r="E13" s="81"/>
      <c r="F13" s="81"/>
      <c r="G13" s="23"/>
      <c r="H13" s="80"/>
      <c r="I13" s="15"/>
      <c r="J13" s="82"/>
      <c r="K13" s="20"/>
    </row>
  </sheetData>
  <conditionalFormatting sqref="E4:F13">
    <cfRule type="expression" priority="2" aboveAverage="0" equalAverage="0" bottom="0" percent="0" rank="0" text="" dxfId="79">
      <formula>$F4="High"</formula>
    </cfRule>
    <cfRule type="expression" priority="3" aboveAverage="0" equalAverage="0" bottom="0" percent="0" rank="0" text="" dxfId="80">
      <formula>$F4="Medium"</formula>
    </cfRule>
    <cfRule type="expression" priority="4" aboveAverage="0" equalAverage="0" bottom="0" percent="0" rank="0" text="" dxfId="81">
      <formula>$F4="Low"</formula>
    </cfRule>
  </conditionalFormatting>
  <dataValidations count="1">
    <dataValidation allowBlank="false" errorStyle="stop" operator="between" showDropDown="false" showErrorMessage="false" showInputMessage="false" sqref="C4:D13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</cols>
  <sheetData>
    <row r="1" customFormat="false" ht="15" hidden="false" customHeight="false" outlineLevel="0" collapsed="false">
      <c r="A1" s="12" t="s">
        <v>444</v>
      </c>
      <c r="B1" s="12" t="s">
        <v>445</v>
      </c>
    </row>
    <row r="2" customFormat="false" ht="15" hidden="false" customHeight="false" outlineLevel="0" collapsed="false">
      <c r="A2" s="83" t="n">
        <v>46289</v>
      </c>
      <c r="B2" s="84" t="s">
        <v>446</v>
      </c>
      <c r="D2" s="85" t="s">
        <v>447</v>
      </c>
    </row>
    <row r="3" customFormat="false" ht="15" hidden="false" customHeight="false" outlineLevel="0" collapsed="false">
      <c r="A3" s="83" t="n">
        <v>46307</v>
      </c>
      <c r="B3" s="84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2026-10-09T19:38:03Z</dcterms:created>
  <dc:creator>openpyxl</dc:creator>
  <dc:description/>
  <dc:language>en-US</dc:language>
  <cp:lastModifiedBy/>
  <dcterms:modified xsi:type="dcterms:W3CDTF">2026-10-26T20:17:41Z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