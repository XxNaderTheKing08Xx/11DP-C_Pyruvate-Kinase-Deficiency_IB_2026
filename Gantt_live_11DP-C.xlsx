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ttore/AI/ClaudeCode/BBI/IB/IB_Project/Submission/Freshman_version/plan_v2/"/>
    </mc:Choice>
  </mc:AlternateContent>
  <xr:revisionPtr revIDLastSave="0" documentId="13_ncr:1_{EB5D077F-6A9F-5D4D-B705-613300B404C3}" xr6:coauthVersionLast="47" xr6:coauthVersionMax="47" xr10:uidLastSave="{00000000-0000-0000-0000-000000000000}"/>
  <bookViews>
    <workbookView xWindow="0" yWindow="680" windowWidth="30240" windowHeight="17980" xr2:uid="{00000000-000D-0000-FFFF-FFFF00000000}"/>
  </bookViews>
  <sheets>
    <sheet name="Read me" sheetId="1" r:id="rId1"/>
    <sheet name="Tasks" sheetId="2" r:id="rId2"/>
    <sheet name="Members" sheetId="3" r:id="rId3"/>
    <sheet name="Milestones" sheetId="4" r:id="rId4"/>
    <sheet name="Risks" sheetId="5" r:id="rId5"/>
    <sheet name="Holidays" sheetId="6" r:id="rId6"/>
  </sheets>
  <definedNames>
    <definedName name="_xlnm._FilterDatabase" localSheetId="1" hidden="1">Tasks!$A$4:$M$60</definedName>
    <definedName name="_xlnm.Print_Area" localSheetId="1">Tasks!$A$1:$AW$63</definedName>
    <definedName name="_xlnm.Print_Titles" localSheetId="1">Tasks!$3:$4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F13" i="5" s="1"/>
  <c r="E12" i="5"/>
  <c r="F12" i="5" s="1"/>
  <c r="E11" i="5"/>
  <c r="F11" i="5" s="1"/>
  <c r="F10" i="5"/>
  <c r="E10" i="5"/>
  <c r="E9" i="5"/>
  <c r="F9" i="5" s="1"/>
  <c r="E8" i="5"/>
  <c r="F8" i="5" s="1"/>
  <c r="E7" i="5"/>
  <c r="F7" i="5" s="1"/>
  <c r="E6" i="5"/>
  <c r="F6" i="5" s="1"/>
  <c r="E5" i="5"/>
  <c r="F5" i="5" s="1"/>
  <c r="F4" i="5"/>
  <c r="E4" i="5"/>
  <c r="G9" i="4"/>
  <c r="G8" i="4"/>
  <c r="G7" i="4"/>
  <c r="G6" i="4"/>
  <c r="G5" i="4"/>
  <c r="G4" i="4"/>
  <c r="G3" i="4"/>
  <c r="G2" i="4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H4" i="3"/>
  <c r="H9" i="3" s="1"/>
  <c r="G4" i="3"/>
  <c r="G9" i="3" s="1"/>
  <c r="F4" i="3"/>
  <c r="F9" i="3" s="1"/>
  <c r="E4" i="3"/>
  <c r="E9" i="3" s="1"/>
  <c r="D4" i="3"/>
  <c r="D9" i="3" s="1"/>
  <c r="AW65" i="2"/>
  <c r="AW55" i="2" s="1"/>
  <c r="AV65" i="2"/>
  <c r="AU65" i="2"/>
  <c r="AU56" i="2" s="1"/>
  <c r="AT65" i="2"/>
  <c r="AS65" i="2"/>
  <c r="AS57" i="2" s="1"/>
  <c r="AR65" i="2"/>
  <c r="AQ65" i="2"/>
  <c r="AQ58" i="2" s="1"/>
  <c r="AP65" i="2"/>
  <c r="AP59" i="2" s="1"/>
  <c r="AO65" i="2"/>
  <c r="AO59" i="2" s="1"/>
  <c r="AN65" i="2"/>
  <c r="AN42" i="2" s="1"/>
  <c r="AM65" i="2"/>
  <c r="AL65" i="2"/>
  <c r="AL43" i="2" s="1"/>
  <c r="AK65" i="2"/>
  <c r="AK55" i="2" s="1"/>
  <c r="AJ65" i="2"/>
  <c r="AI65" i="2"/>
  <c r="AI56" i="2" s="1"/>
  <c r="AH65" i="2"/>
  <c r="AG65" i="2"/>
  <c r="AG57" i="2" s="1"/>
  <c r="AF65" i="2"/>
  <c r="AE65" i="2"/>
  <c r="AE58" i="2" s="1"/>
  <c r="AD65" i="2"/>
  <c r="AD59" i="2" s="1"/>
  <c r="AC65" i="2"/>
  <c r="AC59" i="2" s="1"/>
  <c r="AB65" i="2"/>
  <c r="AB42" i="2" s="1"/>
  <c r="AA65" i="2"/>
  <c r="Z65" i="2"/>
  <c r="Z43" i="2" s="1"/>
  <c r="Y65" i="2"/>
  <c r="Y55" i="2" s="1"/>
  <c r="X65" i="2"/>
  <c r="W65" i="2"/>
  <c r="W56" i="2" s="1"/>
  <c r="V65" i="2"/>
  <c r="U65" i="2"/>
  <c r="U57" i="2" s="1"/>
  <c r="T65" i="2"/>
  <c r="S65" i="2"/>
  <c r="S58" i="2" s="1"/>
  <c r="R65" i="2"/>
  <c r="R59" i="2" s="1"/>
  <c r="Q65" i="2"/>
  <c r="Q59" i="2" s="1"/>
  <c r="P65" i="2"/>
  <c r="P42" i="2" s="1"/>
  <c r="O65" i="2"/>
  <c r="N65" i="2"/>
  <c r="N43" i="2" s="1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I60" i="2"/>
  <c r="AW59" i="2"/>
  <c r="AV59" i="2"/>
  <c r="AU59" i="2"/>
  <c r="AT59" i="2"/>
  <c r="AS59" i="2"/>
  <c r="AR59" i="2"/>
  <c r="AQ59" i="2"/>
  <c r="AN59" i="2"/>
  <c r="AM59" i="2"/>
  <c r="AL59" i="2"/>
  <c r="AK59" i="2"/>
  <c r="AJ59" i="2"/>
  <c r="AI59" i="2"/>
  <c r="AH59" i="2"/>
  <c r="AG59" i="2"/>
  <c r="AF59" i="2"/>
  <c r="AE59" i="2"/>
  <c r="AB59" i="2"/>
  <c r="AA59" i="2"/>
  <c r="Z59" i="2"/>
  <c r="Y59" i="2"/>
  <c r="X59" i="2"/>
  <c r="W59" i="2"/>
  <c r="V59" i="2"/>
  <c r="U59" i="2"/>
  <c r="T59" i="2"/>
  <c r="S59" i="2"/>
  <c r="P59" i="2"/>
  <c r="O59" i="2"/>
  <c r="N59" i="2"/>
  <c r="M59" i="2"/>
  <c r="I59" i="2"/>
  <c r="AW58" i="2"/>
  <c r="AV58" i="2"/>
  <c r="AU58" i="2"/>
  <c r="AT58" i="2"/>
  <c r="AS58" i="2"/>
  <c r="AR58" i="2"/>
  <c r="AP58" i="2"/>
  <c r="AO58" i="2"/>
  <c r="AN58" i="2"/>
  <c r="AM58" i="2"/>
  <c r="AL58" i="2"/>
  <c r="AK58" i="2"/>
  <c r="AJ58" i="2"/>
  <c r="AI58" i="2"/>
  <c r="AH58" i="2"/>
  <c r="AG58" i="2"/>
  <c r="AF58" i="2"/>
  <c r="AD58" i="2"/>
  <c r="AC58" i="2"/>
  <c r="AB58" i="2"/>
  <c r="AA58" i="2"/>
  <c r="Z58" i="2"/>
  <c r="Y58" i="2"/>
  <c r="X58" i="2"/>
  <c r="W58" i="2"/>
  <c r="V58" i="2"/>
  <c r="U58" i="2"/>
  <c r="T58" i="2"/>
  <c r="R58" i="2"/>
  <c r="Q58" i="2"/>
  <c r="P58" i="2"/>
  <c r="O58" i="2"/>
  <c r="N58" i="2"/>
  <c r="I58" i="2"/>
  <c r="M58" i="2" s="1"/>
  <c r="AW57" i="2"/>
  <c r="AV57" i="2"/>
  <c r="AU57" i="2"/>
  <c r="AT57" i="2"/>
  <c r="AR57" i="2"/>
  <c r="AQ57" i="2"/>
  <c r="AP57" i="2"/>
  <c r="AO57" i="2"/>
  <c r="AN57" i="2"/>
  <c r="AM57" i="2"/>
  <c r="AL57" i="2"/>
  <c r="AK57" i="2"/>
  <c r="AJ57" i="2"/>
  <c r="AI57" i="2"/>
  <c r="AH57" i="2"/>
  <c r="AF57" i="2"/>
  <c r="AE57" i="2"/>
  <c r="AD57" i="2"/>
  <c r="AC57" i="2"/>
  <c r="AB57" i="2"/>
  <c r="AA57" i="2"/>
  <c r="Z57" i="2"/>
  <c r="Y57" i="2"/>
  <c r="X57" i="2"/>
  <c r="W57" i="2"/>
  <c r="V57" i="2"/>
  <c r="T57" i="2"/>
  <c r="S57" i="2"/>
  <c r="R57" i="2"/>
  <c r="Q57" i="2"/>
  <c r="P57" i="2"/>
  <c r="O57" i="2"/>
  <c r="N57" i="2"/>
  <c r="I57" i="2"/>
  <c r="M57" i="2" s="1"/>
  <c r="AW56" i="2"/>
  <c r="AV56" i="2"/>
  <c r="AT56" i="2"/>
  <c r="AS56" i="2"/>
  <c r="AR56" i="2"/>
  <c r="AQ56" i="2"/>
  <c r="AP56" i="2"/>
  <c r="AO56" i="2"/>
  <c r="AN56" i="2"/>
  <c r="AM56" i="2"/>
  <c r="AL56" i="2"/>
  <c r="AK56" i="2"/>
  <c r="AJ56" i="2"/>
  <c r="AH56" i="2"/>
  <c r="AG56" i="2"/>
  <c r="AF56" i="2"/>
  <c r="AE56" i="2"/>
  <c r="AD56" i="2"/>
  <c r="AC56" i="2"/>
  <c r="AB56" i="2"/>
  <c r="AA56" i="2"/>
  <c r="Z56" i="2"/>
  <c r="Y56" i="2"/>
  <c r="X56" i="2"/>
  <c r="V56" i="2"/>
  <c r="U56" i="2"/>
  <c r="T56" i="2"/>
  <c r="S56" i="2"/>
  <c r="R56" i="2"/>
  <c r="Q56" i="2"/>
  <c r="P56" i="2"/>
  <c r="O56" i="2"/>
  <c r="N56" i="2"/>
  <c r="M56" i="2"/>
  <c r="I56" i="2"/>
  <c r="AV55" i="2"/>
  <c r="AU55" i="2"/>
  <c r="AT55" i="2"/>
  <c r="AS55" i="2"/>
  <c r="AR55" i="2"/>
  <c r="AQ55" i="2"/>
  <c r="AP55" i="2"/>
  <c r="AO55" i="2"/>
  <c r="AN55" i="2"/>
  <c r="AM55" i="2"/>
  <c r="AL55" i="2"/>
  <c r="AJ55" i="2"/>
  <c r="AI55" i="2"/>
  <c r="AH55" i="2"/>
  <c r="AG55" i="2"/>
  <c r="AF55" i="2"/>
  <c r="AE55" i="2"/>
  <c r="AD55" i="2"/>
  <c r="AC55" i="2"/>
  <c r="AB55" i="2"/>
  <c r="AA55" i="2"/>
  <c r="Z55" i="2"/>
  <c r="X55" i="2"/>
  <c r="W55" i="2"/>
  <c r="V55" i="2"/>
  <c r="U55" i="2"/>
  <c r="T55" i="2"/>
  <c r="S55" i="2"/>
  <c r="R55" i="2"/>
  <c r="Q55" i="2"/>
  <c r="P55" i="2"/>
  <c r="O55" i="2"/>
  <c r="N55" i="2"/>
  <c r="I55" i="2"/>
  <c r="M55" i="2" s="1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I54" i="2"/>
  <c r="AW53" i="2"/>
  <c r="AV53" i="2"/>
  <c r="AU53" i="2"/>
  <c r="AT53" i="2"/>
  <c r="AS53" i="2"/>
  <c r="AR53" i="2"/>
  <c r="AQ53" i="2"/>
  <c r="AP53" i="2"/>
  <c r="AN53" i="2"/>
  <c r="AM53" i="2"/>
  <c r="AL53" i="2"/>
  <c r="AK53" i="2"/>
  <c r="AJ53" i="2"/>
  <c r="AI53" i="2"/>
  <c r="AH53" i="2"/>
  <c r="AG53" i="2"/>
  <c r="AF53" i="2"/>
  <c r="AE53" i="2"/>
  <c r="AD53" i="2"/>
  <c r="AB53" i="2"/>
  <c r="AA53" i="2"/>
  <c r="Z53" i="2"/>
  <c r="Y53" i="2"/>
  <c r="X53" i="2"/>
  <c r="W53" i="2"/>
  <c r="V53" i="2"/>
  <c r="U53" i="2"/>
  <c r="T53" i="2"/>
  <c r="S53" i="2"/>
  <c r="R53" i="2"/>
  <c r="P53" i="2"/>
  <c r="O53" i="2"/>
  <c r="N53" i="2"/>
  <c r="M53" i="2"/>
  <c r="I53" i="2"/>
  <c r="AW52" i="2"/>
  <c r="AV52" i="2"/>
  <c r="AU52" i="2"/>
  <c r="AT52" i="2"/>
  <c r="AS52" i="2"/>
  <c r="AR52" i="2"/>
  <c r="AP52" i="2"/>
  <c r="AO52" i="2"/>
  <c r="AN52" i="2"/>
  <c r="AM52" i="2"/>
  <c r="AL52" i="2"/>
  <c r="AK52" i="2"/>
  <c r="AJ52" i="2"/>
  <c r="AI52" i="2"/>
  <c r="AH52" i="2"/>
  <c r="AG52" i="2"/>
  <c r="AF52" i="2"/>
  <c r="AD52" i="2"/>
  <c r="AC52" i="2"/>
  <c r="AB52" i="2"/>
  <c r="AA52" i="2"/>
  <c r="Z52" i="2"/>
  <c r="Y52" i="2"/>
  <c r="X52" i="2"/>
  <c r="W52" i="2"/>
  <c r="V52" i="2"/>
  <c r="U52" i="2"/>
  <c r="T52" i="2"/>
  <c r="R52" i="2"/>
  <c r="Q52" i="2"/>
  <c r="P52" i="2"/>
  <c r="O52" i="2"/>
  <c r="N52" i="2"/>
  <c r="M52" i="2"/>
  <c r="I52" i="2"/>
  <c r="AW51" i="2"/>
  <c r="AV51" i="2"/>
  <c r="AU51" i="2"/>
  <c r="AT51" i="2"/>
  <c r="AR51" i="2"/>
  <c r="AQ51" i="2"/>
  <c r="AP51" i="2"/>
  <c r="AO51" i="2"/>
  <c r="AN51" i="2"/>
  <c r="AM51" i="2"/>
  <c r="AL51" i="2"/>
  <c r="AK51" i="2"/>
  <c r="AJ51" i="2"/>
  <c r="AI51" i="2"/>
  <c r="AH51" i="2"/>
  <c r="AF51" i="2"/>
  <c r="AE51" i="2"/>
  <c r="AD51" i="2"/>
  <c r="AC51" i="2"/>
  <c r="AB51" i="2"/>
  <c r="AA51" i="2"/>
  <c r="Z51" i="2"/>
  <c r="Y51" i="2"/>
  <c r="X51" i="2"/>
  <c r="W51" i="2"/>
  <c r="V51" i="2"/>
  <c r="T51" i="2"/>
  <c r="S51" i="2"/>
  <c r="R51" i="2"/>
  <c r="Q51" i="2"/>
  <c r="P51" i="2"/>
  <c r="O51" i="2"/>
  <c r="N51" i="2"/>
  <c r="I51" i="2"/>
  <c r="M51" i="2" s="1"/>
  <c r="AW50" i="2"/>
  <c r="AV50" i="2"/>
  <c r="AT50" i="2"/>
  <c r="AS50" i="2"/>
  <c r="AR50" i="2"/>
  <c r="AQ50" i="2"/>
  <c r="AP50" i="2"/>
  <c r="AO50" i="2"/>
  <c r="AN50" i="2"/>
  <c r="AM50" i="2"/>
  <c r="AL50" i="2"/>
  <c r="AK50" i="2"/>
  <c r="AJ50" i="2"/>
  <c r="AH50" i="2"/>
  <c r="AG50" i="2"/>
  <c r="AF50" i="2"/>
  <c r="AE50" i="2"/>
  <c r="AD50" i="2"/>
  <c r="AC50" i="2"/>
  <c r="AB50" i="2"/>
  <c r="AA50" i="2"/>
  <c r="Z50" i="2"/>
  <c r="Y50" i="2"/>
  <c r="X50" i="2"/>
  <c r="V50" i="2"/>
  <c r="U50" i="2"/>
  <c r="T50" i="2"/>
  <c r="S50" i="2"/>
  <c r="R50" i="2"/>
  <c r="Q50" i="2"/>
  <c r="P50" i="2"/>
  <c r="O50" i="2"/>
  <c r="N50" i="2"/>
  <c r="M50" i="2"/>
  <c r="I50" i="2"/>
  <c r="AV49" i="2"/>
  <c r="AU49" i="2"/>
  <c r="AT49" i="2"/>
  <c r="AS49" i="2"/>
  <c r="AR49" i="2"/>
  <c r="AQ49" i="2"/>
  <c r="AP49" i="2"/>
  <c r="AO49" i="2"/>
  <c r="AN49" i="2"/>
  <c r="AM49" i="2"/>
  <c r="AL49" i="2"/>
  <c r="AJ49" i="2"/>
  <c r="AI49" i="2"/>
  <c r="AH49" i="2"/>
  <c r="AG49" i="2"/>
  <c r="AF49" i="2"/>
  <c r="AE49" i="2"/>
  <c r="AD49" i="2"/>
  <c r="AC49" i="2"/>
  <c r="AB49" i="2"/>
  <c r="AA49" i="2"/>
  <c r="Z49" i="2"/>
  <c r="X49" i="2"/>
  <c r="W49" i="2"/>
  <c r="V49" i="2"/>
  <c r="U49" i="2"/>
  <c r="T49" i="2"/>
  <c r="S49" i="2"/>
  <c r="R49" i="2"/>
  <c r="Q49" i="2"/>
  <c r="P49" i="2"/>
  <c r="O49" i="2"/>
  <c r="N49" i="2"/>
  <c r="I49" i="2"/>
  <c r="M49" i="2" s="1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I48" i="2"/>
  <c r="AW47" i="2"/>
  <c r="AV47" i="2"/>
  <c r="AU47" i="2"/>
  <c r="AT47" i="2"/>
  <c r="AS47" i="2"/>
  <c r="AR47" i="2"/>
  <c r="AQ47" i="2"/>
  <c r="AP47" i="2"/>
  <c r="AN47" i="2"/>
  <c r="AM47" i="2"/>
  <c r="AL47" i="2"/>
  <c r="AK47" i="2"/>
  <c r="AJ47" i="2"/>
  <c r="AI47" i="2"/>
  <c r="AH47" i="2"/>
  <c r="AG47" i="2"/>
  <c r="AF47" i="2"/>
  <c r="AE47" i="2"/>
  <c r="AD47" i="2"/>
  <c r="AB47" i="2"/>
  <c r="AA47" i="2"/>
  <c r="Z47" i="2"/>
  <c r="Y47" i="2"/>
  <c r="X47" i="2"/>
  <c r="W47" i="2"/>
  <c r="V47" i="2"/>
  <c r="U47" i="2"/>
  <c r="T47" i="2"/>
  <c r="S47" i="2"/>
  <c r="R47" i="2"/>
  <c r="P47" i="2"/>
  <c r="O47" i="2"/>
  <c r="N47" i="2"/>
  <c r="M47" i="2"/>
  <c r="I47" i="2"/>
  <c r="AW46" i="2"/>
  <c r="AV46" i="2"/>
  <c r="AU46" i="2"/>
  <c r="AT46" i="2"/>
  <c r="AS46" i="2"/>
  <c r="AR46" i="2"/>
  <c r="AP46" i="2"/>
  <c r="AO46" i="2"/>
  <c r="AN46" i="2"/>
  <c r="AM46" i="2"/>
  <c r="AL46" i="2"/>
  <c r="AK46" i="2"/>
  <c r="AJ46" i="2"/>
  <c r="AI46" i="2"/>
  <c r="AH46" i="2"/>
  <c r="AG46" i="2"/>
  <c r="AF46" i="2"/>
  <c r="AD46" i="2"/>
  <c r="AC46" i="2"/>
  <c r="AB46" i="2"/>
  <c r="AA46" i="2"/>
  <c r="Z46" i="2"/>
  <c r="Y46" i="2"/>
  <c r="X46" i="2"/>
  <c r="W46" i="2"/>
  <c r="V46" i="2"/>
  <c r="U46" i="2"/>
  <c r="T46" i="2"/>
  <c r="R46" i="2"/>
  <c r="Q46" i="2"/>
  <c r="P46" i="2"/>
  <c r="O46" i="2"/>
  <c r="N46" i="2"/>
  <c r="M46" i="2"/>
  <c r="I46" i="2"/>
  <c r="AW45" i="2"/>
  <c r="AV45" i="2"/>
  <c r="AU45" i="2"/>
  <c r="AT45" i="2"/>
  <c r="AR45" i="2"/>
  <c r="AQ45" i="2"/>
  <c r="AP45" i="2"/>
  <c r="AO45" i="2"/>
  <c r="AN45" i="2"/>
  <c r="AM45" i="2"/>
  <c r="AL45" i="2"/>
  <c r="AK45" i="2"/>
  <c r="AJ45" i="2"/>
  <c r="AI45" i="2"/>
  <c r="AH45" i="2"/>
  <c r="AF45" i="2"/>
  <c r="AE45" i="2"/>
  <c r="AD45" i="2"/>
  <c r="AC45" i="2"/>
  <c r="AB45" i="2"/>
  <c r="AA45" i="2"/>
  <c r="Z45" i="2"/>
  <c r="Y45" i="2"/>
  <c r="X45" i="2"/>
  <c r="W45" i="2"/>
  <c r="V45" i="2"/>
  <c r="T45" i="2"/>
  <c r="S45" i="2"/>
  <c r="R45" i="2"/>
  <c r="Q45" i="2"/>
  <c r="P45" i="2"/>
  <c r="O45" i="2"/>
  <c r="N45" i="2"/>
  <c r="I45" i="2"/>
  <c r="M45" i="2" s="1"/>
  <c r="I44" i="2"/>
  <c r="H44" i="2"/>
  <c r="E44" i="2" s="1"/>
  <c r="AW43" i="2"/>
  <c r="AV43" i="2"/>
  <c r="AU43" i="2"/>
  <c r="AT43" i="2"/>
  <c r="AS43" i="2"/>
  <c r="AR43" i="2"/>
  <c r="AQ43" i="2"/>
  <c r="AP43" i="2"/>
  <c r="AO43" i="2"/>
  <c r="AN43" i="2"/>
  <c r="AM43" i="2"/>
  <c r="AK43" i="2"/>
  <c r="AJ43" i="2"/>
  <c r="AI43" i="2"/>
  <c r="AH43" i="2"/>
  <c r="AG43" i="2"/>
  <c r="AF43" i="2"/>
  <c r="AE43" i="2"/>
  <c r="AD43" i="2"/>
  <c r="AC43" i="2"/>
  <c r="AB43" i="2"/>
  <c r="AA43" i="2"/>
  <c r="Y43" i="2"/>
  <c r="X43" i="2"/>
  <c r="W43" i="2"/>
  <c r="V43" i="2"/>
  <c r="U43" i="2"/>
  <c r="T43" i="2"/>
  <c r="S43" i="2"/>
  <c r="R43" i="2"/>
  <c r="Q43" i="2"/>
  <c r="P43" i="2"/>
  <c r="O43" i="2"/>
  <c r="M43" i="2"/>
  <c r="I43" i="2"/>
  <c r="AW42" i="2"/>
  <c r="AV42" i="2"/>
  <c r="AU42" i="2"/>
  <c r="AT42" i="2"/>
  <c r="AS42" i="2"/>
  <c r="AR42" i="2"/>
  <c r="AQ42" i="2"/>
  <c r="AP42" i="2"/>
  <c r="AO42" i="2"/>
  <c r="AM42" i="2"/>
  <c r="AL42" i="2"/>
  <c r="AK42" i="2"/>
  <c r="AJ42" i="2"/>
  <c r="AI42" i="2"/>
  <c r="AH42" i="2"/>
  <c r="AG42" i="2"/>
  <c r="AF42" i="2"/>
  <c r="AE42" i="2"/>
  <c r="AD42" i="2"/>
  <c r="AC42" i="2"/>
  <c r="AA42" i="2"/>
  <c r="Z42" i="2"/>
  <c r="Y42" i="2"/>
  <c r="X42" i="2"/>
  <c r="W42" i="2"/>
  <c r="V42" i="2"/>
  <c r="U42" i="2"/>
  <c r="T42" i="2"/>
  <c r="S42" i="2"/>
  <c r="R42" i="2"/>
  <c r="Q42" i="2"/>
  <c r="O42" i="2"/>
  <c r="N42" i="2"/>
  <c r="I42" i="2"/>
  <c r="M42" i="2" s="1"/>
  <c r="AW41" i="2"/>
  <c r="AV41" i="2"/>
  <c r="AU41" i="2"/>
  <c r="AT41" i="2"/>
  <c r="AS41" i="2"/>
  <c r="AR41" i="2"/>
  <c r="AQ41" i="2"/>
  <c r="AO41" i="2"/>
  <c r="AN41" i="2"/>
  <c r="AM41" i="2"/>
  <c r="AL41" i="2"/>
  <c r="AK41" i="2"/>
  <c r="AJ41" i="2"/>
  <c r="AI41" i="2"/>
  <c r="AH41" i="2"/>
  <c r="AG41" i="2"/>
  <c r="AF41" i="2"/>
  <c r="AE41" i="2"/>
  <c r="AC41" i="2"/>
  <c r="AB41" i="2"/>
  <c r="AA41" i="2"/>
  <c r="Z41" i="2"/>
  <c r="Y41" i="2"/>
  <c r="X41" i="2"/>
  <c r="W41" i="2"/>
  <c r="V41" i="2"/>
  <c r="U41" i="2"/>
  <c r="T41" i="2"/>
  <c r="S41" i="2"/>
  <c r="Q41" i="2"/>
  <c r="P41" i="2"/>
  <c r="O41" i="2"/>
  <c r="N41" i="2"/>
  <c r="I41" i="2"/>
  <c r="M41" i="2" s="1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I40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I39" i="2"/>
  <c r="M39" i="2" s="1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I38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I37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I36" i="2"/>
  <c r="M36" i="2" s="1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I35" i="2"/>
  <c r="M35" i="2" s="1"/>
  <c r="I34" i="2"/>
  <c r="E34" i="2" s="1"/>
  <c r="H34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I33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I32" i="2"/>
  <c r="M32" i="2" s="1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I31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I30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I29" i="2"/>
  <c r="M29" i="2" s="1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I28" i="2"/>
  <c r="M28" i="2" s="1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I27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I26" i="2"/>
  <c r="M26" i="2" s="1"/>
  <c r="H25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I24" i="2"/>
  <c r="M24" i="2" s="1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I23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I22" i="2"/>
  <c r="M22" i="2" s="1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I21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I20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I19" i="2"/>
  <c r="M19" i="2" s="1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I18" i="2"/>
  <c r="M18" i="2" s="1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I17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I16" i="2"/>
  <c r="M16" i="2" s="1"/>
  <c r="I15" i="2"/>
  <c r="H15" i="2"/>
  <c r="E15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I14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I13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I12" i="2"/>
  <c r="M12" i="2" s="1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I11" i="2"/>
  <c r="M11" i="2" s="1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I10" i="2"/>
  <c r="M10" i="2" s="1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I9" i="2"/>
  <c r="M9" i="2" s="1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I8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I7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I6" i="2"/>
  <c r="M6" i="2" s="1"/>
  <c r="H5" i="2"/>
  <c r="I25" i="2" l="1"/>
  <c r="E25" i="2" s="1"/>
  <c r="R41" i="2"/>
  <c r="AD41" i="2"/>
  <c r="AP41" i="2"/>
  <c r="U45" i="2"/>
  <c r="AG45" i="2"/>
  <c r="AS45" i="2"/>
  <c r="S46" i="2"/>
  <c r="AE46" i="2"/>
  <c r="AQ46" i="2"/>
  <c r="Q47" i="2"/>
  <c r="AC47" i="2"/>
  <c r="AO47" i="2"/>
  <c r="Y49" i="2"/>
  <c r="AK49" i="2"/>
  <c r="AW49" i="2"/>
  <c r="W50" i="2"/>
  <c r="AI50" i="2"/>
  <c r="AU50" i="2"/>
  <c r="U51" i="2"/>
  <c r="AG51" i="2"/>
  <c r="AS51" i="2"/>
  <c r="S52" i="2"/>
  <c r="AE52" i="2"/>
  <c r="AQ52" i="2"/>
  <c r="Q53" i="2"/>
  <c r="AC53" i="2"/>
  <c r="AO53" i="2"/>
  <c r="I5" i="2"/>
  <c r="E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11DP-C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Calendar span of the task in working days (bar length).</t>
        </r>
      </text>
    </comment>
    <comment ref="F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Working days of effort. Equals the duration, except 1.7 (two weekly meetings).</t>
        </r>
      </text>
    </comment>
    <comment ref="M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Working days between planned and real end; negative = finished early.</t>
        </r>
      </text>
    </comment>
    <comment ref="N6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Project presentation and access to GitHub</t>
        </r>
      </text>
    </comment>
    <comment ref="P6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Paper structure, sources and references</t>
        </r>
      </text>
    </comment>
    <comment ref="U6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Structural biology</t>
        </r>
      </text>
    </comment>
    <comment ref="X6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PDB lab</t>
        </r>
      </text>
    </comment>
    <comment ref="Z6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Genomics</t>
        </r>
      </text>
    </comment>
    <comment ref="AC6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Sequence alignment lab 1</t>
        </r>
      </text>
    </comment>
    <comment ref="AH6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Sequence alignment lab 2</t>
        </r>
      </text>
    </comment>
    <comment ref="AJ6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Integrated bioinformatics reasoning</t>
        </r>
      </text>
    </comment>
    <comment ref="AM6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Structure superposition lab</t>
        </r>
      </text>
    </comment>
    <comment ref="AO63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Project retrospective (online, optional)</t>
        </r>
      </text>
    </comment>
    <comment ref="AW6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Project defence</t>
        </r>
      </text>
    </comment>
  </commentList>
</comments>
</file>

<file path=xl/sharedStrings.xml><?xml version="1.0" encoding="utf-8"?>
<sst xmlns="http://schemas.openxmlformats.org/spreadsheetml/2006/main" count="551" uniqueCount="326">
  <si>
    <t>11DP-C · Live Gantt chart and Project Status</t>
  </si>
  <si>
    <t>Generated on 8 October 2026 from the plan submitted on 9 October (baseline). From then on, update it by hand.</t>
  </si>
  <si>
    <t>What to edit</t>
  </si>
  <si>
    <t>Only the yellow cells. Each owner updates their own rows: Real start, Real end, Status, Notes (Tasks); Real date and Status (Milestones);</t>
  </si>
  <si>
    <t>Likelihood, Impact, Status, Last review, Notes (Risks). Planned dates are the 9 October baseline and must not be changed.</t>
  </si>
  <si>
    <t>Example: when Leo starts task 2.1 on Tue 13 Oct, he writes 13/10/2026 in Real start and sets Status to 'In progress';</t>
  </si>
  <si>
    <t>when he finishes, he writes the Real end and sets 'Completed'. Delay is computed automatically (negative = early).</t>
  </si>
  <si>
    <t>Status values (Formal Requirements, Project Status Document): Backlog, Pending, In progress, Completed, Incident, Canceled.</t>
  </si>
  <si>
    <t>How to read the chart (Tasks sheet)</t>
  </si>
  <si>
    <t>Bar fill = phase of the planned task: grey Phase 0 (completed), blue WP1, teal WP2, amber WP3, purple WP4.</t>
  </si>
  <si>
    <t>Line under the bar = owner: red Aarón, lime Bruno, black Ettore, magenta Leo, azure Pol, grey all members.</t>
  </si>
  <si>
    <t>● = real execution, drawn from Real start to Real end (or to today while the task is open). Red header cell = today. Shaded columns = holidays.</t>
  </si>
  <si>
    <t>Adding a task</t>
  </si>
  <si>
    <t>Insert a row inside its phase, copy a neighbouring task row (formulas and formats follow), and fill ID, Task, Owner, Duration, Effort, Predecessors, Planned start.</t>
  </si>
  <si>
    <t>A task added after 9 October is new scope: write 'Added on &lt;date&gt;' in Notes so the final retrospective can explain it.</t>
  </si>
  <si>
    <t>Sheets</t>
  </si>
  <si>
    <t>Tasks: planned vs real dates, status, Gantt grid · Members: tasks and effort per member · Milestones · Risks: register with scores · Holidays.</t>
  </si>
  <si>
    <t>Class sessions (bottom of the Tasks grid):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defence.</t>
  </si>
  <si>
    <t>Yellow = cell to edit</t>
  </si>
  <si>
    <t>11DP-C · Pyruvate Kinase Deficiency: from a PKLR variant to haemolytic anaemia · live Gantt chart and Project Status</t>
  </si>
  <si>
    <t>Planned dates = baseline of 9 October 2026 (do not edit). Yellow cells are updated by each task owner: real start, real end, status, notes. Bar fill = phase (planned); line under the bar = owner; ● = real execution.</t>
  </si>
  <si>
    <t>ID</t>
  </si>
  <si>
    <t>Phase</t>
  </si>
  <si>
    <t>Task</t>
  </si>
  <si>
    <t>Owner</t>
  </si>
  <si>
    <t>Duration (working days)</t>
  </si>
  <si>
    <t>Effort (days)</t>
  </si>
  <si>
    <t>Predecessors</t>
  </si>
  <si>
    <t>Planned start</t>
  </si>
  <si>
    <t>Planned end</t>
  </si>
  <si>
    <t>Real start</t>
  </si>
  <si>
    <t>Real end</t>
  </si>
  <si>
    <t>Status</t>
  </si>
  <si>
    <t>Delay (working days)</t>
  </si>
  <si>
    <t>Notes (output, completion criterion, evidence, incidents)</t>
  </si>
  <si>
    <t>P0</t>
  </si>
  <si>
    <t>Phase 0 · Project start-up (completed)</t>
  </si>
  <si>
    <t>0.1</t>
  </si>
  <si>
    <t>Create the GitHub repository and write the README</t>
  </si>
  <si>
    <t>Leo</t>
  </si>
  <si>
    <t>Completed</t>
  </si>
  <si>
    <t>Evidence: Commits of 17 Sep</t>
  </si>
  <si>
    <t>0.2</t>
  </si>
  <si>
    <t>Create the report file and the folder structure</t>
  </si>
  <si>
    <t>Ettore</t>
  </si>
  <si>
    <t>0.3</t>
  </si>
  <si>
    <t>Study the course instructions and the disease</t>
  </si>
  <si>
    <t>All</t>
  </si>
  <si>
    <t>Evidence: Reported by the team</t>
  </si>
  <si>
    <t>0.4</t>
  </si>
  <si>
    <t>Team meeting 1 (after class)</t>
  </si>
  <si>
    <t>0.5</t>
  </si>
  <si>
    <t>Format the report file</t>
  </si>
  <si>
    <t>Aarón</t>
  </si>
  <si>
    <t>Evidence: Commit of 28 Sep</t>
  </si>
  <si>
    <t>0.6</t>
  </si>
  <si>
    <t>Team meeting 2 (after class)</t>
  </si>
  <si>
    <t>0.7</t>
  </si>
  <si>
    <t>Team meeting 3 (after class)</t>
  </si>
  <si>
    <t>0.8</t>
  </si>
  <si>
    <t>Draft the project plan (introduction, objectives, Gantt chart, risks)</t>
  </si>
  <si>
    <t>Evidence: Draft files</t>
  </si>
  <si>
    <t>0.9</t>
  </si>
  <si>
    <t>Team meeting 4 (after class): review of the draft plan; decision to submit it through GitHub rather than as a PDF</t>
  </si>
  <si>
    <t>WP1</t>
  </si>
  <si>
    <t>WP1 · Project management and GitHub</t>
  </si>
  <si>
    <t>1.1</t>
  </si>
  <si>
    <t>Review and commit the introduction (PKD_1); create the folders report/, status/, gantt/, and references/</t>
  </si>
  <si>
    <t>Pending</t>
  </si>
  <si>
    <t>Output: Introduction and required folders in the repository. Accomplished when: The four required folders exist and the introduction is committed by its reviewer.</t>
  </si>
  <si>
    <t>1.2</t>
  </si>
  <si>
    <t>Review and commit the overview and team section (PKD_2); submit the repository URL on Moodle</t>
  </si>
  <si>
    <t>Output: PKD_2 committed; URL submitted. Accomplished when: The URL is submitted on Moodle before 18:00 on 9 Oct.</t>
  </si>
  <si>
    <t>1.3</t>
  </si>
  <si>
    <t>Review and commit the Gantt chart (PKD_3)</t>
  </si>
  <si>
    <t>Output: PKD_3 committed. Accomplished when: The chart renders on GitHub and its dates match PKD_4.</t>
  </si>
  <si>
    <t>1.4</t>
  </si>
  <si>
    <t>Review and commit the task details (PKD_4)</t>
  </si>
  <si>
    <t>Pol</t>
  </si>
  <si>
    <t>Output: PKD_4 committed. Accomplished when: Every task has an owner, output, duration, predecessor, and completion criterion.</t>
  </si>
  <si>
    <t>1.5</t>
  </si>
  <si>
    <t>Review and commit the risk analysis and references (PKD_5, PKD_6)</t>
  </si>
  <si>
    <t>Bruno</t>
  </si>
  <si>
    <t>Output: PKD_5 and PKD_6 committed. Accomplished when: Each risk has a score and a contingency plan; every citation has a reference.</t>
  </si>
  <si>
    <t>1.6</t>
  </si>
  <si>
    <t>Create the Project Status document</t>
  </si>
  <si>
    <t>Output: `status/` document. Accomplished when: It lists every task with owner, planned dates, real dates, status, and notes.</t>
  </si>
  <si>
    <t>1.7</t>
  </si>
  <si>
    <t>Weekly status update and team meeting (Fridays 16 and 23 Oct)</t>
  </si>
  <si>
    <t>Output: Dated notes in `status/`. Accomplished when: After each meeting, real dates, status changes, and incidents are recorded.</t>
  </si>
  <si>
    <t>1.8</t>
  </si>
  <si>
    <t>Prepare the Project Status document for the 22 Oct discussion</t>
  </si>
  <si>
    <t>Output: Updated `status/` document. Accomplished when: Planned and real dates, status, and notes are current on 20 Oct.</t>
  </si>
  <si>
    <t>1.9</t>
  </si>
  <si>
    <t>Produce the final Gantt chart with real dates (live version)</t>
  </si>
  <si>
    <t>4.6</t>
  </si>
  <si>
    <t>Output: Final Gantt chart in `gantt/`. Accomplished when: Every task shows its real dates, and deviations are explained.</t>
  </si>
  <si>
    <t>WP2</t>
  </si>
  <si>
    <t>WP2 · Data sources, literature, and sequences</t>
  </si>
  <si>
    <t>2.1</t>
  </si>
  <si>
    <t>Characterize the supplied sequences: translate both CDSs, compare wild type and mutant, and name the variant in HGVS nomenclature</t>
  </si>
  <si>
    <t>Output: Variant table (DNA and protein level). Accomplished when: Every difference is listed at DNA and protein level and verified by a second member (task 2.8).</t>
  </si>
  <si>
    <t>2.2</t>
  </si>
  <si>
    <t>Identify the gene, the isoform, and the reference entries (HGNC, NCBI Gene, UniProt)</t>
  </si>
  <si>
    <t>Output: Table of identifiers. Accomplished when: The gene symbol, isoform, and accession numbers are recorded with access dates.</t>
  </si>
  <si>
    <t>2.3</t>
  </si>
  <si>
    <t>Collect clinical and population evidence on the variant (ClinVar, gnomAD, OMIM, literature)</t>
  </si>
  <si>
    <t>2.1, 2.5</t>
  </si>
  <si>
    <t>Output: Evidence table with sources. Accomplished when: Classification, allele frequency, and published functional data are recorded with sources.</t>
  </si>
  <si>
    <t>2.4</t>
  </si>
  <si>
    <t>Review the literature on PK and PKD: normal function, mechanism, inheritance, and clinical features</t>
  </si>
  <si>
    <t>Output: Annotated literature notes. Accomplished when: Each statement planned for the Background has at least one primary or review source.</t>
  </si>
  <si>
    <t>2.5</t>
  </si>
  <si>
    <t>Retrieve the reviewed orthologous sequences: rat, mouse, and dog (outgroup)</t>
  </si>
  <si>
    <t>Output: FASTA files and accession list. Accomplished when: Every sequence is saved in the repository with its accession number.</t>
  </si>
  <si>
    <t>2.6</t>
  </si>
  <si>
    <t>Select the experimental structures: wild-type and mutant human R-type PK; rat PK</t>
  </si>
  <si>
    <t>Output: Table of PDB entries (method, resolution, construct). Accomplished when: One wild-type and one mutant entry are chosen, with the reasons recorded.</t>
  </si>
  <si>
    <t>2.7</t>
  </si>
  <si>
    <t>Archive the sources in references/ and maintain the reference list</t>
  </si>
  <si>
    <t>2.3, 2.4</t>
  </si>
  <si>
    <t>Output: PDFs and Mini Oxford reference list. Accomplished when: Every cited source is archived and listed in the required style.</t>
  </si>
  <si>
    <t>2.8</t>
  </si>
  <si>
    <t>Verify the sequence characterization independently: repeat the translation and the comparison of the four files</t>
  </si>
  <si>
    <t>Output: Verification note. Accomplished when: The variant table of task 2.1 is confirmed, or each discrepancy is resolved with its owner.</t>
  </si>
  <si>
    <t>WP3</t>
  </si>
  <si>
    <t>WP3 · Sequence and structure analysis</t>
  </si>
  <si>
    <t>3.1</t>
  </si>
  <si>
    <t>Pairwise alignments of human PK with the rat and mouse orthologs (protein and CDS)</t>
  </si>
  <si>
    <t>Output: Alignments and identity table. Accomplished when: Percent identity and similarity are reported for each pair, with tool and parameters.</t>
  </si>
  <si>
    <t>3.2</t>
  </si>
  <si>
    <t>Multiple sequence alignment of human, rat, mouse, and dog PK; conservation of the substituted position and lineage of each difference</t>
  </si>
  <si>
    <t>Output: Alignment figure and conservation notes. Accomplished when: The residue at the substituted position is reported for every species, and the lineage of each change is stated.</t>
  </si>
  <si>
    <t>3.3</t>
  </si>
  <si>
    <t>Map the substituted residue on the wild-type structure: distances to the active site, the allosteric site, and the domain and subunit interfaces</t>
  </si>
  <si>
    <t>2.1, 2.6</t>
  </si>
  <si>
    <t>Output: Annotated structure figure and distance table. Accomplished when: Distances are measured in a stated structure and chain.</t>
  </si>
  <si>
    <t>3.4</t>
  </si>
  <si>
    <t>Superpose the wild-type and mutant structures (repeated in the 22 Oct lab)</t>
  </si>
  <si>
    <t>Output: Superposition figure and RMSD values. Accomplished when: Global and local differences are quantified with the method stated.</t>
  </si>
  <si>
    <t>3.5</t>
  </si>
  <si>
    <t>Compare the human R-type and rat L-type structures around the substituted position</t>
  </si>
  <si>
    <t>3.4, 3.2</t>
  </si>
  <si>
    <t>Output: Comparison figure and notes. Accomplished when: The local environment of the position is described in both species.</t>
  </si>
  <si>
    <t>3.6</t>
  </si>
  <si>
    <t>Assess pathogenicity: combine clinical, population, conservation, structural, and biochemical evidence</t>
  </si>
  <si>
    <t>2.3, 2.4, 3.1</t>
  </si>
  <si>
    <t>Output: Evidence summary table. Accomplished when: Each line of evidence is classified as measured result, hypothesis, or open question.</t>
  </si>
  <si>
    <t>3.7</t>
  </si>
  <si>
    <t>Explain the impact on the patient: from enzyme activity to red-cell ATP, haemolysis, and clinical severity</t>
  </si>
  <si>
    <t>Output: One-page causal summary. Accomplished when: Each step from variant to clinical picture is supported by a cited source or our own result.</t>
  </si>
  <si>
    <t>3.8</t>
  </si>
  <si>
    <t>Team synthesis meeting: from variant to patient</t>
  </si>
  <si>
    <t>3.5, 3.7, 3.9</t>
  </si>
  <si>
    <t>Output: Meeting notes. Accomplished when: Every member can explain the full chain from variant to patient.</t>
  </si>
  <si>
    <t>3.9</t>
  </si>
  <si>
    <t>Verify the alignments independently: repeat the multiple sequence alignment and check the residue at the substituted position in every species</t>
  </si>
  <si>
    <t>Output: Verification note. Accomplished when: The residues reported in task 3.2 are confirmed, or each discrepancy is resolved with its owner.</t>
  </si>
  <si>
    <t>WP4</t>
  </si>
  <si>
    <t>WP4 · Report, delivery, and defence</t>
  </si>
  <si>
    <t>4.1</t>
  </si>
  <si>
    <t>Write the Background</t>
  </si>
  <si>
    <t>Output: Background section in `report/`. Accomplished when: It states the problem and the question, with every claim cited.</t>
  </si>
  <si>
    <t>4.2</t>
  </si>
  <si>
    <t>Write the Methods</t>
  </si>
  <si>
    <t>2.7, 3.9</t>
  </si>
  <si>
    <t>Output: Methods section in `report/`. Accomplished when: Another student could reproduce every analysis from it.</t>
  </si>
  <si>
    <t>4.3</t>
  </si>
  <si>
    <t>Write the Results on sequences and species comparison</t>
  </si>
  <si>
    <t>Output: Results, part 1. Accomplished when: It reports what was measured, without interpretation, with numbered figures or tables.</t>
  </si>
  <si>
    <t>4.4</t>
  </si>
  <si>
    <t>Write the Results on structures; prepare the figures</t>
  </si>
  <si>
    <t>Output: Results, part 2; figures. Accomplished when: Figures are numbered, captioned, and stored in the repository.</t>
  </si>
  <si>
    <t>4.5</t>
  </si>
  <si>
    <t>Write the Discussion and Conclusions</t>
  </si>
  <si>
    <t>Output: Discussion and Conclusions. Accomplished when: They answer the project question and state the limitations.</t>
  </si>
  <si>
    <t>Write the Abstract and assemble the report</t>
  </si>
  <si>
    <t>4.1, 4.2, 4.3, 4.4, 4.5</t>
  </si>
  <si>
    <t>Output: Complete report. Accomplished when: All BMC sections are present; the Abstract has at most 350 words.</t>
  </si>
  <si>
    <t>4.7</t>
  </si>
  <si>
    <t>Coordinate the full read-through and corrections</t>
  </si>
  <si>
    <t>Output: Corrected report. Accomplished when: Every member has read the whole report and all comments are resolved.</t>
  </si>
  <si>
    <t>4.8</t>
  </si>
  <si>
    <t>Check the format limits and the references</t>
  </si>
  <si>
    <t>Output: Completed checklist. Accomplished when: At most 7 pages or 5 000 words and five figures or tables; references in Mini Oxford style.</t>
  </si>
  <si>
    <t>4.9</t>
  </si>
  <si>
    <t>Deliver the final report on GitHub</t>
  </si>
  <si>
    <t>4.7, 4.8, 1.9</t>
  </si>
  <si>
    <t>Output: Final repository. Accomplished when: All files are committed by 12:00 on 28 Oct, six hours before the 18:00 deadline.</t>
  </si>
  <si>
    <t>4.10</t>
  </si>
  <si>
    <t>Prepare the defence slides on the background and the impact on the patient</t>
  </si>
  <si>
    <t>Output: Slides, part 1. Accomplished when: The slides cover the Background and SO3, and their presenter is named.</t>
  </si>
  <si>
    <t>4.11</t>
  </si>
  <si>
    <t>Prepare the defence slides on the data sources and methods</t>
  </si>
  <si>
    <t>Output: Slides, part 2. Accomplished when: The slides cover the Methods, and their presenter is named.</t>
  </si>
  <si>
    <t>4.12</t>
  </si>
  <si>
    <t>Prepare the defence slides on the discussion and conclusions</t>
  </si>
  <si>
    <t>Output: Slides, part 3. Accomplished when: The slides answer the project question and state the limitations.</t>
  </si>
  <si>
    <t>4.13</t>
  </si>
  <si>
    <t>Prepare the defence slides on the sequence and species-comparison results</t>
  </si>
  <si>
    <t>Output: Slides, part 4. Accomplished when: The slides cover SO1 and SO4 results, and their presenter is named.</t>
  </si>
  <si>
    <t>4.14</t>
  </si>
  <si>
    <t>Prepare the defence slides on the structural results</t>
  </si>
  <si>
    <t>Output: Slides, part 5. Accomplished when: The slides cover SO2 results, and their presenter is named.</t>
  </si>
  <si>
    <t>4.15</t>
  </si>
  <si>
    <t>Assemble the defence presentation: unify the format and confirm who presents each part</t>
  </si>
  <si>
    <t>4.10, 4.11, 4.12, 4.13, 4.14</t>
  </si>
  <si>
    <t>Output: Complete presentation. Accomplished when: One presentation in a single format, with every member presenting a part.</t>
  </si>
  <si>
    <t>4.16</t>
  </si>
  <si>
    <t>Coordinate the defence rehearsal, with cross-questioning between members</t>
  </si>
  <si>
    <t>Output: Rehearsal and list of likely questions. Accomplished when: Every member can answer questions on every part of the project.</t>
  </si>
  <si>
    <t>Milestones</t>
  </si>
  <si>
    <t>◆
M0</t>
  </si>
  <si>
    <t>◆
M1</t>
  </si>
  <si>
    <t>◆
M2</t>
  </si>
  <si>
    <t>◆
M3</t>
  </si>
  <si>
    <t>◆
M4</t>
  </si>
  <si>
    <t>◆
M5</t>
  </si>
  <si>
    <t>◆
M6</t>
  </si>
  <si>
    <t>◆
M7</t>
  </si>
  <si>
    <t>Class sessions</t>
  </si>
  <si>
    <t>Pres</t>
  </si>
  <si>
    <t>Ref</t>
  </si>
  <si>
    <t>SB</t>
  </si>
  <si>
    <t>PDB</t>
  </si>
  <si>
    <t>Gen</t>
  </si>
  <si>
    <t>SA1</t>
  </si>
  <si>
    <t>SA2</t>
  </si>
  <si>
    <t>IBR</t>
  </si>
  <si>
    <t>SSP</t>
  </si>
  <si>
    <t>Ret</t>
  </si>
  <si>
    <t>Def</t>
  </si>
  <si>
    <t>Class sessions: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</t>
  </si>
  <si>
    <t>helper: holiday flag (hidden)</t>
  </si>
  <si>
    <t>Members, roles, and distribution of the planned work (formulas read the Tasks sheet; Phase 0 excluded)</t>
  </si>
  <si>
    <t>Full name</t>
  </si>
  <si>
    <t>Role</t>
  </si>
  <si>
    <t>Tasks owned</t>
  </si>
  <si>
    <t>Effort (working days)</t>
  </si>
  <si>
    <t>In progress</t>
  </si>
  <si>
    <t>Incidents</t>
  </si>
  <si>
    <t>Aarón Godino Martínez</t>
  </si>
  <si>
    <t>Product Owner</t>
  </si>
  <si>
    <t>Bruno Carrasquilla</t>
  </si>
  <si>
    <t>Data and GitHub Manager</t>
  </si>
  <si>
    <t>Ettore Colombo</t>
  </si>
  <si>
    <t>Project Manager</t>
  </si>
  <si>
    <t>Leo Nader Al Hourani</t>
  </si>
  <si>
    <t>Sequence Analyst</t>
  </si>
  <si>
    <t>Pol Monllau</t>
  </si>
  <si>
    <t>Structure Analyst</t>
  </si>
  <si>
    <t>Total</t>
  </si>
  <si>
    <t>Milestone</t>
  </si>
  <si>
    <t>Planned date</t>
  </si>
  <si>
    <t>Real date</t>
  </si>
  <si>
    <t>Source</t>
  </si>
  <si>
    <t>M0</t>
  </si>
  <si>
    <t>Project presented; repository created</t>
  </si>
  <si>
    <t>Overview; commits</t>
  </si>
  <si>
    <t>M1</t>
  </si>
  <si>
    <t>Project plan submitted</t>
  </si>
  <si>
    <t>Overview (18:00)</t>
  </si>
  <si>
    <t>M2</t>
  </si>
  <si>
    <t>Data collected (variant, sequences, structures, literature)</t>
  </si>
  <si>
    <t>after 2.7</t>
  </si>
  <si>
    <t>M3</t>
  </si>
  <si>
    <t>Analyses completed</t>
  </si>
  <si>
    <t>after 3.8</t>
  </si>
  <si>
    <t>M4</t>
  </si>
  <si>
    <t>Project Status document discussed</t>
  </si>
  <si>
    <t>Overview; Formal Requirements</t>
  </si>
  <si>
    <t>M5</t>
  </si>
  <si>
    <t>Report draft complete</t>
  </si>
  <si>
    <t>after 4.6</t>
  </si>
  <si>
    <t>M6</t>
  </si>
  <si>
    <t>Final report delivered</t>
  </si>
  <si>
    <t>M7</t>
  </si>
  <si>
    <t>Oral defence (all members)</t>
  </si>
  <si>
    <t>Course schedule</t>
  </si>
  <si>
    <t>Risk register · Risk = Likelihood × Impact (1–3 each) · 1–2 Low · 3–5 Medium · 6–9 High</t>
  </si>
  <si>
    <t>Risk</t>
  </si>
  <si>
    <t>Likelihood</t>
  </si>
  <si>
    <t>Impact</t>
  </si>
  <si>
    <t>Score</t>
  </si>
  <si>
    <t>Level</t>
  </si>
  <si>
    <t>Contingency plan</t>
  </si>
  <si>
    <t>Last review</t>
  </si>
  <si>
    <t>Notes</t>
  </si>
  <si>
    <t>R1</t>
  </si>
  <si>
    <t>Commits made in bulk or near the deadlines</t>
  </si>
  <si>
    <t>Partly occurred</t>
  </si>
  <si>
    <t>Section-by-section commits on 9 Oct (1.1–1.5); commit after every work session; history reviewed weekly (1.7).</t>
  </si>
  <si>
    <t>R2</t>
  </si>
  <si>
    <t>Unequal contribution among members</t>
  </si>
  <si>
    <t>Seven tasks per member; own commits; contributions recorded weekly; Authors' contributions section.</t>
  </si>
  <si>
    <t>R3</t>
  </si>
  <si>
    <t>Repository structure not compliant with the requirements</t>
  </si>
  <si>
    <t>Occurred</t>
  </si>
  <si>
    <t>Create report/, status/, gantt/, references/ on 9 Oct (1.1); check weekly (1.7).</t>
  </si>
  <si>
    <t>R4</t>
  </si>
  <si>
    <t>Project Status document or live Gantt chart not kept up to date</t>
  </si>
  <si>
    <t>Open</t>
  </si>
  <si>
    <t>Status document from 13 Oct (1.6); weekly update (1.7); final chart with real dates (1.9).</t>
  </si>
  <si>
    <t>R5</t>
  </si>
  <si>
    <t>Incorrect database record selected, or result misinterpreted</t>
  </si>
  <si>
    <t>Reviewed entries only; accession, access date and rationale recorded (2.2, 2.5, 2.6); second-member check, including the variant table (2.8).</t>
  </si>
  <si>
    <t>R6</t>
  </si>
  <si>
    <t>Alignment or structural results misinterpreted</t>
  </si>
  <si>
    <t>Each analysis after its lab; questions to instructors; alignment repeated by a second member (3.9); superposition repeated in the 22 Oct lab (3.4).</t>
  </si>
  <si>
    <t>R7</t>
  </si>
  <si>
    <t>Species comparison insufficiently justified, or evolutionary changes inferred without an outgroup</t>
  </si>
  <si>
    <t>Reason for each species stated; dog as outgroup (2.5, 3.2); lineage claims only when the outgroup supports them.</t>
  </si>
  <si>
    <t>R8</t>
  </si>
  <si>
    <t>Parts developed in isolation; members aware only of their own tasks</t>
  </si>
  <si>
    <t>Synthesis meeting (3.8); full read-through (4.7); each member presents their own part (4.10–4.14); cross-questioning rehearsal (4.16).</t>
  </si>
  <si>
    <t>R9</t>
  </si>
  <si>
    <t>Statements supported by weak or unverified sources, including GenAI output</t>
  </si>
  <si>
    <t>Primary articles for facts, reviews for context; GenAI output verified at source; sources archived (2.7).</t>
  </si>
  <si>
    <t>R10</t>
  </si>
  <si>
    <t>Report format, length limits, or delivery deadline not met</t>
  </si>
  <si>
    <t>Word budget; format check 27 Oct (4.8); assembly 26 Oct (4.6); final commit by 12:00 on 28 Oct (4.9).</t>
  </si>
  <si>
    <t>Date</t>
  </si>
  <si>
    <t>Holiday</t>
  </si>
  <si>
    <t>Local holiday</t>
  </si>
  <si>
    <t>Add any further non-working day in column A; all working-day formulas use rows 2–40.</t>
  </si>
  <si>
    <t>National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</si>
</sst>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d\ dd\ mmm\ yyyy"/>
    <numFmt numFmtId="166" formatCode="dd\ mmm"/>
    <numFmt numFmtId="167" formatCode="d"/>
    <numFmt numFmtId="168" formatCode="ddd\ dd\ mmm"/>
    <numFmt numFmtId="169" formatCode="dd\ mmm\ yyyy"/>
  </numFmts>
  <fonts count="2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D2433"/>
      <name val="Arial"/>
      <family val="2"/>
    </font>
    <font>
      <i/>
      <sz val="10"/>
      <color rgb="FF555555"/>
      <name val="Arial"/>
      <family val="2"/>
    </font>
    <font>
      <b/>
      <sz val="13"/>
      <color rgb="FF24426E"/>
      <name val="Arial"/>
      <family val="2"/>
    </font>
    <font>
      <i/>
      <sz val="9"/>
      <color rgb="FF555555"/>
      <name val="Arial"/>
      <family val="2"/>
    </font>
    <font>
      <b/>
      <sz val="8"/>
      <color rgb="FF24426E"/>
      <name val="Arial"/>
      <family val="2"/>
    </font>
    <font>
      <b/>
      <sz val="8"/>
      <color rgb="FFFFFFFF"/>
      <name val="Arial"/>
      <family val="2"/>
    </font>
    <font>
      <b/>
      <sz val="10"/>
      <color rgb="FF1D2433"/>
      <name val="Arial"/>
      <family val="2"/>
    </font>
    <font>
      <sz val="9"/>
      <color rgb="FF1D2433"/>
      <name val="Arial"/>
      <family val="2"/>
    </font>
    <font>
      <b/>
      <sz val="10"/>
      <color rgb="FFD81B9A"/>
      <name val="Arial"/>
      <family val="2"/>
    </font>
    <font>
      <sz val="7"/>
      <color rgb="FF1D2433"/>
      <name val="Arial"/>
      <family val="2"/>
    </font>
    <font>
      <b/>
      <sz val="10"/>
      <color rgb="FF222222"/>
      <name val="Arial"/>
      <family val="2"/>
    </font>
    <font>
      <b/>
      <sz val="10"/>
      <color rgb="FF7F7F7F"/>
      <name val="Arial"/>
      <family val="2"/>
    </font>
    <font>
      <b/>
      <sz val="10"/>
      <color rgb="FFE63946"/>
      <name val="Arial"/>
      <family val="2"/>
    </font>
    <font>
      <b/>
      <sz val="10"/>
      <color rgb="FF00A6FB"/>
      <name val="Arial"/>
      <family val="2"/>
    </font>
    <font>
      <b/>
      <sz val="10"/>
      <color rgb="FF8AC926"/>
      <name val="Arial"/>
      <family val="2"/>
    </font>
    <font>
      <b/>
      <sz val="10"/>
      <color rgb="FFB03A2E"/>
      <name val="Arial"/>
      <family val="2"/>
    </font>
    <font>
      <b/>
      <sz val="10"/>
      <color rgb="FF24426E"/>
      <name val="Arial"/>
      <family val="2"/>
    </font>
    <font>
      <b/>
      <sz val="7"/>
      <color rgb="FFB03A2E"/>
      <name val="Arial"/>
      <family val="2"/>
    </font>
    <font>
      <b/>
      <sz val="7"/>
      <color rgb="FF24426E"/>
      <name val="Arial"/>
      <family val="2"/>
    </font>
    <font>
      <i/>
      <sz val="8"/>
      <color rgb="FF555555"/>
      <name val="Arial"/>
      <family val="2"/>
    </font>
    <font>
      <b/>
      <sz val="12"/>
      <color rgb="FF24426E"/>
      <name val="Arial"/>
      <family val="2"/>
    </font>
    <font>
      <b/>
      <sz val="14"/>
      <color rgb="FF24426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4426E"/>
      </patternFill>
    </fill>
    <fill>
      <patternFill patternType="solid">
        <fgColor rgb="FFFFF2CC"/>
      </patternFill>
    </fill>
    <fill>
      <patternFill patternType="solid">
        <fgColor rgb="FFECEEF1"/>
      </patternFill>
    </fill>
    <fill>
      <patternFill patternType="solid">
        <fgColor rgb="FFDCE5F2"/>
      </patternFill>
    </fill>
    <fill>
      <patternFill patternType="solid">
        <fgColor rgb="FFD5EFEC"/>
      </patternFill>
    </fill>
    <fill>
      <patternFill patternType="solid">
        <fgColor rgb="FFF8E6C2"/>
      </patternFill>
    </fill>
    <fill>
      <patternFill patternType="solid">
        <fgColor rgb="FFE7DFF2"/>
      </patternFill>
    </fill>
  </fills>
  <borders count="7">
    <border>
      <left/>
      <right/>
      <top/>
      <bottom/>
      <diagonal/>
    </border>
    <border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9AA3A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4A6FA5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2A9D8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D98E04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ck">
        <color rgb="FF8E6CB8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3" borderId="0" xfId="0" applyFont="1" applyFill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8" fillId="4" borderId="1" xfId="0" applyFont="1" applyFill="1" applyBorder="1"/>
    <xf numFmtId="168" fontId="8" fillId="4" borderId="1" xfId="0" applyNumberFormat="1" applyFont="1" applyFill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68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8" fillId="5" borderId="3" xfId="0" applyFont="1" applyFill="1" applyBorder="1"/>
    <xf numFmtId="0" fontId="8" fillId="5" borderId="1" xfId="0" applyFont="1" applyFill="1" applyBorder="1"/>
    <xf numFmtId="168" fontId="8" fillId="5" borderId="1" xfId="0" applyNumberFormat="1" applyFont="1" applyFill="1" applyBorder="1"/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8" fillId="6" borderId="4" xfId="0" applyFont="1" applyFill="1" applyBorder="1"/>
    <xf numFmtId="0" fontId="8" fillId="6" borderId="1" xfId="0" applyFont="1" applyFill="1" applyBorder="1"/>
    <xf numFmtId="168" fontId="8" fillId="6" borderId="1" xfId="0" applyNumberFormat="1" applyFont="1" applyFill="1" applyBorder="1"/>
    <xf numFmtId="0" fontId="8" fillId="7" borderId="5" xfId="0" applyFont="1" applyFill="1" applyBorder="1"/>
    <xf numFmtId="0" fontId="8" fillId="7" borderId="1" xfId="0" applyFont="1" applyFill="1" applyBorder="1"/>
    <xf numFmtId="168" fontId="8" fillId="7" borderId="1" xfId="0" applyNumberFormat="1" applyFont="1" applyFill="1" applyBorder="1"/>
    <xf numFmtId="0" fontId="8" fillId="8" borderId="6" xfId="0" applyFont="1" applyFill="1" applyBorder="1"/>
    <xf numFmtId="0" fontId="8" fillId="8" borderId="1" xfId="0" applyFont="1" applyFill="1" applyBorder="1"/>
    <xf numFmtId="168" fontId="8" fillId="8" borderId="1" xfId="0" applyNumberFormat="1" applyFont="1" applyFill="1" applyBorder="1"/>
    <xf numFmtId="0" fontId="17" fillId="0" borderId="0" xfId="0" applyFont="1"/>
    <xf numFmtId="0" fontId="19" fillId="0" borderId="0" xfId="0" applyFont="1" applyAlignment="1">
      <alignment horizontal="center" vertical="top" wrapText="1"/>
    </xf>
    <xf numFmtId="0" fontId="18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14" fillId="0" borderId="1" xfId="0" applyFont="1" applyBorder="1"/>
    <xf numFmtId="0" fontId="2" fillId="0" borderId="1" xfId="0" applyFont="1" applyBorder="1"/>
    <xf numFmtId="0" fontId="16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5" fillId="0" borderId="1" xfId="0" applyFont="1" applyBorder="1"/>
    <xf numFmtId="0" fontId="8" fillId="0" borderId="0" xfId="0" applyFont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12" fillId="0" borderId="1" xfId="0" applyFont="1" applyBorder="1" applyAlignment="1">
      <alignment vertical="top"/>
    </xf>
    <xf numFmtId="169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165" fontId="2" fillId="3" borderId="0" xfId="0" applyNumberFormat="1" applyFont="1" applyFill="1"/>
    <xf numFmtId="0" fontId="2" fillId="3" borderId="0" xfId="0" applyFont="1" applyFill="1"/>
    <xf numFmtId="0" fontId="3" fillId="0" borderId="0" xfId="0" applyFont="1"/>
    <xf numFmtId="166" fontId="6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44">
    <dxf>
      <fill>
        <patternFill patternType="solid">
          <fgColor rgb="FFCFEBC7"/>
          <bgColor rgb="FFCFEBC7"/>
        </patternFill>
      </fill>
    </dxf>
    <dxf>
      <fill>
        <patternFill patternType="solid">
          <fgColor rgb="FFFFE2A0"/>
          <bgColor rgb="FFFFE2A0"/>
        </patternFill>
      </fill>
    </dxf>
    <dxf>
      <fill>
        <patternFill patternType="solid">
          <fgColor rgb="FFF5B0A5"/>
          <bgColor rgb="FFF5B0A5"/>
        </patternFill>
      </fill>
    </dxf>
    <dxf>
      <fill>
        <patternFill patternType="solid">
          <fgColor rgb="FF9AA3AF"/>
          <bgColor rgb="FF9AA3AF"/>
        </patternFill>
      </fill>
      <border>
        <bottom style="thick">
          <color rgb="FFE63946"/>
        </bottom>
      </border>
    </dxf>
    <dxf>
      <fill>
        <patternFill patternType="solid">
          <fgColor rgb="FFECEEF1"/>
          <bgColor rgb="FFECEEF1"/>
        </patternFill>
      </fill>
    </dxf>
    <dxf>
      <fill>
        <patternFill patternType="solid">
          <fgColor rgb="FFDCE5F2"/>
          <bgColor rgb="FFDCE5F2"/>
        </patternFill>
      </fill>
    </dxf>
    <dxf>
      <fill>
        <patternFill patternType="solid">
          <fgColor rgb="FFD5EFEC"/>
          <bgColor rgb="FFD5EFEC"/>
        </patternFill>
      </fill>
    </dxf>
    <dxf>
      <fill>
        <patternFill patternType="solid">
          <fgColor rgb="FFF8E6C2"/>
          <bgColor rgb="FFF8E6C2"/>
        </patternFill>
      </fill>
    </dxf>
    <dxf>
      <fill>
        <patternFill patternType="solid">
          <fgColor rgb="FF8E6CB8"/>
          <bgColor rgb="FF8E6CB8"/>
        </patternFill>
      </fill>
      <border>
        <bottom style="thick">
          <color rgb="FF7F7F7F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7F7F7F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7F7F7F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7F7F7F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7F7F7F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00A6FB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00A6FB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00A6FB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00A6FB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00A6FB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D81B9A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D81B9A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D81B9A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D81B9A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D81B9A"/>
        </bottom>
      </border>
    </dxf>
    <dxf>
      <fill>
        <patternFill patternType="solid">
          <fgColor rgb="FFE7DFF2"/>
          <bgColor rgb="FFE7DFF2"/>
        </patternFill>
      </fill>
    </dxf>
    <dxf>
      <fill>
        <patternFill patternType="solid">
          <fgColor rgb="FFD98E04"/>
          <bgColor rgb="FFD98E04"/>
        </patternFill>
      </fill>
      <border>
        <bottom style="thick">
          <color rgb="FF222222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222222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222222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222222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8AC926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8AC926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8AC926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8AC926"/>
        </bottom>
      </border>
    </dxf>
    <dxf>
      <fill>
        <patternFill patternType="solid">
          <fgColor rgb="FF9AA3AF"/>
          <bgColor rgb="FF9AA3AF"/>
        </patternFill>
      </fill>
      <border>
        <bottom style="thick">
          <color rgb="FF8AC926"/>
        </bottom>
      </border>
    </dxf>
    <dxf>
      <fill>
        <patternFill patternType="solid">
          <fgColor rgb="FF8E6CB8"/>
          <bgColor rgb="FF8E6CB8"/>
        </patternFill>
      </fill>
      <border>
        <bottom style="thick">
          <color rgb="FFE63946"/>
        </bottom>
      </border>
    </dxf>
    <dxf>
      <fill>
        <patternFill patternType="solid">
          <fgColor rgb="FFD98E04"/>
          <bgColor rgb="FFD98E04"/>
        </patternFill>
      </fill>
      <border>
        <bottom style="thick">
          <color rgb="FFE63946"/>
        </bottom>
      </border>
    </dxf>
    <dxf>
      <fill>
        <patternFill patternType="solid">
          <fgColor rgb="FF2A9D8F"/>
          <bgColor rgb="FF2A9D8F"/>
        </patternFill>
      </fill>
      <border>
        <bottom style="thick">
          <color rgb="FFE63946"/>
        </bottom>
      </border>
    </dxf>
    <dxf>
      <fill>
        <patternFill patternType="solid">
          <fgColor rgb="FF4A6FA5"/>
          <bgColor rgb="FF4A6FA5"/>
        </patternFill>
      </fill>
      <border>
        <bottom style="thick">
          <color rgb="FFE63946"/>
        </bottom>
      </border>
    </dxf>
    <dxf>
      <fill>
        <patternFill patternType="solid">
          <fgColor rgb="FFF2C4BE"/>
          <bgColor rgb="FFF2C4BE"/>
        </patternFill>
      </fill>
    </dxf>
    <dxf>
      <fill>
        <patternFill patternType="solid">
          <fgColor rgb="FF8E6CB8"/>
          <bgColor rgb="FF8E6CB8"/>
        </patternFill>
      </fill>
      <border>
        <bottom style="thick">
          <color rgb="FF222222"/>
        </bottom>
      </border>
    </dxf>
    <dxf>
      <fill>
        <patternFill patternType="solid">
          <fgColor rgb="FFB03A2E"/>
          <bgColor rgb="FFB03A2E"/>
        </patternFill>
      </fill>
    </dxf>
    <dxf>
      <fill>
        <patternFill patternType="solid">
          <fgColor rgb="FFCFEBC7"/>
          <bgColor rgb="FFCFEBC7"/>
        </patternFill>
      </fill>
    </dxf>
    <dxf>
      <fill>
        <patternFill patternType="solid">
          <fgColor rgb="FFFFE2A0"/>
          <bgColor rgb="FFFFE2A0"/>
        </patternFill>
      </fill>
    </dxf>
    <dxf>
      <fill>
        <patternFill patternType="solid">
          <fgColor rgb="FFF5B0A5"/>
          <bgColor rgb="FFF5B0A5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/>
    </row>
    <row r="4" spans="1:1" ht="17" x14ac:dyDescent="0.2">
      <c r="A4" s="4" t="s">
        <v>2</v>
      </c>
    </row>
    <row r="5" spans="1:1" ht="28" x14ac:dyDescent="0.2">
      <c r="A5" s="5" t="s">
        <v>3</v>
      </c>
    </row>
    <row r="6" spans="1:1" x14ac:dyDescent="0.2">
      <c r="A6" s="5" t="s">
        <v>4</v>
      </c>
    </row>
    <row r="7" spans="1:1" x14ac:dyDescent="0.2">
      <c r="A7" s="5" t="s">
        <v>5</v>
      </c>
    </row>
    <row r="8" spans="1:1" x14ac:dyDescent="0.2">
      <c r="A8" s="5" t="s">
        <v>6</v>
      </c>
    </row>
    <row r="9" spans="1:1" ht="28" x14ac:dyDescent="0.2">
      <c r="A9" s="5" t="s">
        <v>7</v>
      </c>
    </row>
    <row r="10" spans="1:1" x14ac:dyDescent="0.2">
      <c r="A10" s="3"/>
    </row>
    <row r="11" spans="1:1" ht="17" x14ac:dyDescent="0.2">
      <c r="A11" s="4" t="s">
        <v>8</v>
      </c>
    </row>
    <row r="12" spans="1:1" x14ac:dyDescent="0.2">
      <c r="A12" s="5" t="s">
        <v>9</v>
      </c>
    </row>
    <row r="13" spans="1:1" x14ac:dyDescent="0.2">
      <c r="A13" s="5" t="s">
        <v>10</v>
      </c>
    </row>
    <row r="14" spans="1:1" ht="28" x14ac:dyDescent="0.2">
      <c r="A14" s="5" t="s">
        <v>11</v>
      </c>
    </row>
    <row r="15" spans="1:1" x14ac:dyDescent="0.2">
      <c r="A15" s="3"/>
    </row>
    <row r="16" spans="1:1" ht="17" x14ac:dyDescent="0.2">
      <c r="A16" s="4" t="s">
        <v>12</v>
      </c>
    </row>
    <row r="17" spans="1:1" ht="28" x14ac:dyDescent="0.2">
      <c r="A17" s="5" t="s">
        <v>13</v>
      </c>
    </row>
    <row r="18" spans="1:1" x14ac:dyDescent="0.2">
      <c r="A18" s="5" t="s">
        <v>14</v>
      </c>
    </row>
    <row r="19" spans="1:1" x14ac:dyDescent="0.2">
      <c r="A19" s="3"/>
    </row>
    <row r="20" spans="1:1" ht="17" x14ac:dyDescent="0.2">
      <c r="A20" s="4" t="s">
        <v>15</v>
      </c>
    </row>
    <row r="21" spans="1:1" ht="28" x14ac:dyDescent="0.2">
      <c r="A21" s="5" t="s">
        <v>16</v>
      </c>
    </row>
    <row r="22" spans="1:1" ht="56" x14ac:dyDescent="0.2">
      <c r="A22" s="5" t="s">
        <v>17</v>
      </c>
    </row>
    <row r="24" spans="1:1" x14ac:dyDescent="0.2">
      <c r="A24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65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6" customWidth="1"/>
    <col min="3" max="3" width="62" customWidth="1"/>
    <col min="4" max="5" width="9" customWidth="1"/>
    <col min="6" max="6" width="7" customWidth="1"/>
    <col min="7" max="7" width="13" customWidth="1"/>
    <col min="8" max="11" width="12" customWidth="1"/>
    <col min="12" max="12" width="11" customWidth="1"/>
    <col min="13" max="13" width="9" customWidth="1"/>
    <col min="14" max="49" width="3.6640625" customWidth="1"/>
    <col min="50" max="50" width="90" customWidth="1"/>
  </cols>
  <sheetData>
    <row r="1" spans="1:50" ht="17" x14ac:dyDescent="0.2">
      <c r="A1" s="7" t="s">
        <v>19</v>
      </c>
    </row>
    <row r="2" spans="1:50" x14ac:dyDescent="0.2">
      <c r="A2" s="8" t="s">
        <v>20</v>
      </c>
    </row>
    <row r="3" spans="1:50" x14ac:dyDescent="0.2">
      <c r="N3" s="68">
        <v>46279</v>
      </c>
      <c r="O3" s="69"/>
      <c r="P3" s="68">
        <v>46286</v>
      </c>
      <c r="Q3" s="69"/>
      <c r="R3" s="69"/>
      <c r="S3" s="69"/>
      <c r="T3" s="69"/>
      <c r="U3" s="68">
        <v>46293</v>
      </c>
      <c r="V3" s="69"/>
      <c r="W3" s="69"/>
      <c r="X3" s="69"/>
      <c r="Y3" s="69"/>
      <c r="Z3" s="68">
        <v>46300</v>
      </c>
      <c r="AA3" s="69"/>
      <c r="AB3" s="69"/>
      <c r="AC3" s="69"/>
      <c r="AD3" s="69"/>
      <c r="AE3" s="68">
        <v>46307</v>
      </c>
      <c r="AF3" s="69"/>
      <c r="AG3" s="69"/>
      <c r="AH3" s="69"/>
      <c r="AI3" s="69"/>
      <c r="AJ3" s="68">
        <v>46314</v>
      </c>
      <c r="AK3" s="69"/>
      <c r="AL3" s="69"/>
      <c r="AM3" s="69"/>
      <c r="AN3" s="69"/>
      <c r="AO3" s="68">
        <v>46321</v>
      </c>
      <c r="AP3" s="69"/>
      <c r="AQ3" s="69"/>
      <c r="AR3" s="69"/>
      <c r="AS3" s="69"/>
      <c r="AT3" s="68">
        <v>46328</v>
      </c>
      <c r="AU3" s="69"/>
      <c r="AV3" s="69"/>
      <c r="AW3" s="69"/>
    </row>
    <row r="4" spans="1:50" ht="42" customHeight="1" x14ac:dyDescent="0.2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10">
        <v>46282</v>
      </c>
      <c r="O4" s="10">
        <v>46283</v>
      </c>
      <c r="P4" s="10">
        <v>46286</v>
      </c>
      <c r="Q4" s="10">
        <v>46287</v>
      </c>
      <c r="R4" s="10">
        <v>46288</v>
      </c>
      <c r="S4" s="10">
        <v>46289</v>
      </c>
      <c r="T4" s="10">
        <v>46290</v>
      </c>
      <c r="U4" s="10">
        <v>46293</v>
      </c>
      <c r="V4" s="10">
        <v>46294</v>
      </c>
      <c r="W4" s="10">
        <v>46295</v>
      </c>
      <c r="X4" s="10">
        <v>46296</v>
      </c>
      <c r="Y4" s="10">
        <v>46297</v>
      </c>
      <c r="Z4" s="10">
        <v>46300</v>
      </c>
      <c r="AA4" s="10">
        <v>46301</v>
      </c>
      <c r="AB4" s="10">
        <v>46302</v>
      </c>
      <c r="AC4" s="10">
        <v>46303</v>
      </c>
      <c r="AD4" s="10">
        <v>46304</v>
      </c>
      <c r="AE4" s="10">
        <v>46307</v>
      </c>
      <c r="AF4" s="10">
        <v>46308</v>
      </c>
      <c r="AG4" s="10">
        <v>46309</v>
      </c>
      <c r="AH4" s="10">
        <v>46310</v>
      </c>
      <c r="AI4" s="10">
        <v>46311</v>
      </c>
      <c r="AJ4" s="10">
        <v>46314</v>
      </c>
      <c r="AK4" s="10">
        <v>46315</v>
      </c>
      <c r="AL4" s="10">
        <v>46316</v>
      </c>
      <c r="AM4" s="10">
        <v>46317</v>
      </c>
      <c r="AN4" s="10">
        <v>46318</v>
      </c>
      <c r="AO4" s="10">
        <v>46321</v>
      </c>
      <c r="AP4" s="10">
        <v>46322</v>
      </c>
      <c r="AQ4" s="10">
        <v>46323</v>
      </c>
      <c r="AR4" s="10">
        <v>46324</v>
      </c>
      <c r="AS4" s="10">
        <v>46325</v>
      </c>
      <c r="AT4" s="10">
        <v>46328</v>
      </c>
      <c r="AU4" s="10">
        <v>46329</v>
      </c>
      <c r="AV4" s="10">
        <v>46330</v>
      </c>
      <c r="AW4" s="10">
        <v>46331</v>
      </c>
      <c r="AX4" s="9" t="s">
        <v>34</v>
      </c>
    </row>
    <row r="5" spans="1:50" x14ac:dyDescent="0.2">
      <c r="A5" s="11" t="s">
        <v>35</v>
      </c>
      <c r="B5" s="12" t="s">
        <v>35</v>
      </c>
      <c r="C5" s="12" t="s">
        <v>36</v>
      </c>
      <c r="D5" s="12"/>
      <c r="E5" s="12">
        <f>NETWORKDAYS(H5,I5,Holidays!$A$2:$A$40)</f>
        <v>15</v>
      </c>
      <c r="F5" s="12"/>
      <c r="G5" s="12"/>
      <c r="H5" s="13">
        <f>MIN(H6:H14)</f>
        <v>46282</v>
      </c>
      <c r="I5" s="13">
        <f>MAX(I6:I14)</f>
        <v>46303</v>
      </c>
      <c r="J5" s="12"/>
      <c r="K5" s="12"/>
      <c r="L5" s="12"/>
      <c r="M5" s="1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1:50" x14ac:dyDescent="0.2">
      <c r="A6" s="15" t="s">
        <v>37</v>
      </c>
      <c r="B6" s="15" t="s">
        <v>35</v>
      </c>
      <c r="C6" s="15" t="s">
        <v>38</v>
      </c>
      <c r="D6" s="16" t="s">
        <v>39</v>
      </c>
      <c r="E6" s="15">
        <v>1</v>
      </c>
      <c r="F6" s="15">
        <v>1</v>
      </c>
      <c r="G6" s="15"/>
      <c r="H6" s="17">
        <v>46282</v>
      </c>
      <c r="I6" s="17">
        <f>WORKDAY(H6,E6-1,Holidays!$A$2:$A$40)</f>
        <v>46282</v>
      </c>
      <c r="J6" s="18">
        <v>46282</v>
      </c>
      <c r="K6" s="18">
        <v>46282</v>
      </c>
      <c r="L6" s="19" t="s">
        <v>40</v>
      </c>
      <c r="M6" s="15">
        <f>IF(OR(K6="",I6=""),"",IF(K6&gt;=I6,NETWORKDAYS(I6,K6,Holidays!$A$2:$A$40)-1,-(NETWORKDAYS(K6,I6,Holidays!$A$2:$A$40)-1)))</f>
        <v>0</v>
      </c>
      <c r="N6" s="20" t="str">
        <f t="shared" ref="N6:W14" ca="1" si="0">IF(AND($J6&lt;&gt;"",N$4&gt;=$J6,N$4&lt;=IF($K6="",TODAY(),$K6),N$65=0),"●","")</f>
        <v>●</v>
      </c>
      <c r="O6" s="20" t="str">
        <f t="shared" ca="1" si="0"/>
        <v/>
      </c>
      <c r="P6" s="20" t="str">
        <f t="shared" ca="1" si="0"/>
        <v/>
      </c>
      <c r="Q6" s="20" t="str">
        <f t="shared" ca="1" si="0"/>
        <v/>
      </c>
      <c r="R6" s="20" t="str">
        <f t="shared" ca="1" si="0"/>
        <v/>
      </c>
      <c r="S6" s="20" t="str">
        <f t="shared" ca="1" si="0"/>
        <v/>
      </c>
      <c r="T6" s="20" t="str">
        <f t="shared" ca="1" si="0"/>
        <v/>
      </c>
      <c r="U6" s="20" t="str">
        <f t="shared" ca="1" si="0"/>
        <v/>
      </c>
      <c r="V6" s="20" t="str">
        <f t="shared" ca="1" si="0"/>
        <v/>
      </c>
      <c r="W6" s="20" t="str">
        <f t="shared" ca="1" si="0"/>
        <v/>
      </c>
      <c r="X6" s="20" t="str">
        <f t="shared" ref="X6:AG14" ca="1" si="1">IF(AND($J6&lt;&gt;"",X$4&gt;=$J6,X$4&lt;=IF($K6="",TODAY(),$K6),X$65=0),"●","")</f>
        <v/>
      </c>
      <c r="Y6" s="20" t="str">
        <f t="shared" ca="1" si="1"/>
        <v/>
      </c>
      <c r="Z6" s="20" t="str">
        <f t="shared" ca="1" si="1"/>
        <v/>
      </c>
      <c r="AA6" s="20" t="str">
        <f t="shared" ca="1" si="1"/>
        <v/>
      </c>
      <c r="AB6" s="20" t="str">
        <f t="shared" ca="1" si="1"/>
        <v/>
      </c>
      <c r="AC6" s="20" t="str">
        <f t="shared" ca="1" si="1"/>
        <v/>
      </c>
      <c r="AD6" s="20" t="str">
        <f t="shared" ca="1" si="1"/>
        <v/>
      </c>
      <c r="AE6" s="20" t="str">
        <f t="shared" ca="1" si="1"/>
        <v/>
      </c>
      <c r="AF6" s="20" t="str">
        <f t="shared" ca="1" si="1"/>
        <v/>
      </c>
      <c r="AG6" s="20" t="str">
        <f t="shared" ca="1" si="1"/>
        <v/>
      </c>
      <c r="AH6" s="20" t="str">
        <f t="shared" ref="AH6:AQ14" ca="1" si="2">IF(AND($J6&lt;&gt;"",AH$4&gt;=$J6,AH$4&lt;=IF($K6="",TODAY(),$K6),AH$65=0),"●","")</f>
        <v/>
      </c>
      <c r="AI6" s="20" t="str">
        <f t="shared" ca="1" si="2"/>
        <v/>
      </c>
      <c r="AJ6" s="20" t="str">
        <f t="shared" ca="1" si="2"/>
        <v/>
      </c>
      <c r="AK6" s="20" t="str">
        <f t="shared" ca="1" si="2"/>
        <v/>
      </c>
      <c r="AL6" s="20" t="str">
        <f t="shared" ca="1" si="2"/>
        <v/>
      </c>
      <c r="AM6" s="20" t="str">
        <f t="shared" ca="1" si="2"/>
        <v/>
      </c>
      <c r="AN6" s="20" t="str">
        <f t="shared" ca="1" si="2"/>
        <v/>
      </c>
      <c r="AO6" s="20" t="str">
        <f t="shared" ca="1" si="2"/>
        <v/>
      </c>
      <c r="AP6" s="20" t="str">
        <f t="shared" ca="1" si="2"/>
        <v/>
      </c>
      <c r="AQ6" s="20" t="str">
        <f t="shared" ca="1" si="2"/>
        <v/>
      </c>
      <c r="AR6" s="20" t="str">
        <f t="shared" ref="AR6:AW14" ca="1" si="3">IF(AND($J6&lt;&gt;"",AR$4&gt;=$J6,AR$4&lt;=IF($K6="",TODAY(),$K6),AR$65=0),"●","")</f>
        <v/>
      </c>
      <c r="AS6" s="20" t="str">
        <f t="shared" ca="1" si="3"/>
        <v/>
      </c>
      <c r="AT6" s="20" t="str">
        <f t="shared" ca="1" si="3"/>
        <v/>
      </c>
      <c r="AU6" s="20" t="str">
        <f t="shared" ca="1" si="3"/>
        <v/>
      </c>
      <c r="AV6" s="20" t="str">
        <f t="shared" ca="1" si="3"/>
        <v/>
      </c>
      <c r="AW6" s="20" t="str">
        <f t="shared" ca="1" si="3"/>
        <v/>
      </c>
      <c r="AX6" s="21" t="s">
        <v>41</v>
      </c>
    </row>
    <row r="7" spans="1:50" x14ac:dyDescent="0.2">
      <c r="A7" s="15" t="s">
        <v>42</v>
      </c>
      <c r="B7" s="15" t="s">
        <v>35</v>
      </c>
      <c r="C7" s="15" t="s">
        <v>43</v>
      </c>
      <c r="D7" s="22" t="s">
        <v>44</v>
      </c>
      <c r="E7" s="15">
        <v>1</v>
      </c>
      <c r="F7" s="15">
        <v>1</v>
      </c>
      <c r="G7" s="15"/>
      <c r="H7" s="17">
        <v>46282</v>
      </c>
      <c r="I7" s="17">
        <f>WORKDAY(H7,E7-1,Holidays!$A$2:$A$40)</f>
        <v>46282</v>
      </c>
      <c r="J7" s="18">
        <v>46282</v>
      </c>
      <c r="K7" s="18">
        <v>46282</v>
      </c>
      <c r="L7" s="19" t="s">
        <v>40</v>
      </c>
      <c r="M7" s="15">
        <f>IF(OR(K7="",I7=""),"",IF(K7&gt;=I7,NETWORKDAYS(I7,K7,Holidays!$A$2:$A$40)-1,-(NETWORKDAYS(K7,I7,Holidays!$A$2:$A$40)-1)))</f>
        <v>0</v>
      </c>
      <c r="N7" s="20" t="str">
        <f t="shared" ca="1" si="0"/>
        <v>●</v>
      </c>
      <c r="O7" s="20" t="str">
        <f t="shared" ca="1" si="0"/>
        <v/>
      </c>
      <c r="P7" s="20" t="str">
        <f t="shared" ca="1" si="0"/>
        <v/>
      </c>
      <c r="Q7" s="20" t="str">
        <f t="shared" ca="1" si="0"/>
        <v/>
      </c>
      <c r="R7" s="20" t="str">
        <f t="shared" ca="1" si="0"/>
        <v/>
      </c>
      <c r="S7" s="20" t="str">
        <f t="shared" ca="1" si="0"/>
        <v/>
      </c>
      <c r="T7" s="20" t="str">
        <f t="shared" ca="1" si="0"/>
        <v/>
      </c>
      <c r="U7" s="20" t="str">
        <f t="shared" ca="1" si="0"/>
        <v/>
      </c>
      <c r="V7" s="20" t="str">
        <f t="shared" ca="1" si="0"/>
        <v/>
      </c>
      <c r="W7" s="20" t="str">
        <f t="shared" ca="1" si="0"/>
        <v/>
      </c>
      <c r="X7" s="20" t="str">
        <f t="shared" ca="1" si="1"/>
        <v/>
      </c>
      <c r="Y7" s="20" t="str">
        <f t="shared" ca="1" si="1"/>
        <v/>
      </c>
      <c r="Z7" s="20" t="str">
        <f t="shared" ca="1" si="1"/>
        <v/>
      </c>
      <c r="AA7" s="20" t="str">
        <f t="shared" ca="1" si="1"/>
        <v/>
      </c>
      <c r="AB7" s="20" t="str">
        <f t="shared" ca="1" si="1"/>
        <v/>
      </c>
      <c r="AC7" s="20" t="str">
        <f t="shared" ca="1" si="1"/>
        <v/>
      </c>
      <c r="AD7" s="20" t="str">
        <f t="shared" ca="1" si="1"/>
        <v/>
      </c>
      <c r="AE7" s="20" t="str">
        <f t="shared" ca="1" si="1"/>
        <v/>
      </c>
      <c r="AF7" s="20" t="str">
        <f t="shared" ca="1" si="1"/>
        <v/>
      </c>
      <c r="AG7" s="20" t="str">
        <f t="shared" ca="1" si="1"/>
        <v/>
      </c>
      <c r="AH7" s="20" t="str">
        <f t="shared" ca="1" si="2"/>
        <v/>
      </c>
      <c r="AI7" s="20" t="str">
        <f t="shared" ca="1" si="2"/>
        <v/>
      </c>
      <c r="AJ7" s="20" t="str">
        <f t="shared" ca="1" si="2"/>
        <v/>
      </c>
      <c r="AK7" s="20" t="str">
        <f t="shared" ca="1" si="2"/>
        <v/>
      </c>
      <c r="AL7" s="20" t="str">
        <f t="shared" ca="1" si="2"/>
        <v/>
      </c>
      <c r="AM7" s="20" t="str">
        <f t="shared" ca="1" si="2"/>
        <v/>
      </c>
      <c r="AN7" s="20" t="str">
        <f t="shared" ca="1" si="2"/>
        <v/>
      </c>
      <c r="AO7" s="20" t="str">
        <f t="shared" ca="1" si="2"/>
        <v/>
      </c>
      <c r="AP7" s="20" t="str">
        <f t="shared" ca="1" si="2"/>
        <v/>
      </c>
      <c r="AQ7" s="20" t="str">
        <f t="shared" ca="1" si="2"/>
        <v/>
      </c>
      <c r="AR7" s="20" t="str">
        <f t="shared" ca="1" si="3"/>
        <v/>
      </c>
      <c r="AS7" s="20" t="str">
        <f t="shared" ca="1" si="3"/>
        <v/>
      </c>
      <c r="AT7" s="20" t="str">
        <f t="shared" ca="1" si="3"/>
        <v/>
      </c>
      <c r="AU7" s="20" t="str">
        <f t="shared" ca="1" si="3"/>
        <v/>
      </c>
      <c r="AV7" s="20" t="str">
        <f t="shared" ca="1" si="3"/>
        <v/>
      </c>
      <c r="AW7" s="20" t="str">
        <f t="shared" ca="1" si="3"/>
        <v/>
      </c>
      <c r="AX7" s="21" t="s">
        <v>41</v>
      </c>
    </row>
    <row r="8" spans="1:50" x14ac:dyDescent="0.2">
      <c r="A8" s="15" t="s">
        <v>45</v>
      </c>
      <c r="B8" s="15" t="s">
        <v>35</v>
      </c>
      <c r="C8" s="15" t="s">
        <v>46</v>
      </c>
      <c r="D8" s="23" t="s">
        <v>47</v>
      </c>
      <c r="E8" s="15">
        <v>13</v>
      </c>
      <c r="F8" s="15">
        <v>13</v>
      </c>
      <c r="G8" s="15"/>
      <c r="H8" s="17">
        <v>46286</v>
      </c>
      <c r="I8" s="17">
        <f>WORKDAY(H8,E8-1,Holidays!$A$2:$A$40)</f>
        <v>46303</v>
      </c>
      <c r="J8" s="18">
        <v>46286</v>
      </c>
      <c r="K8" s="18">
        <v>46303</v>
      </c>
      <c r="L8" s="19" t="s">
        <v>40</v>
      </c>
      <c r="M8" s="15">
        <f>IF(OR(K8="",I8=""),"",IF(K8&gt;=I8,NETWORKDAYS(I8,K8,Holidays!$A$2:$A$40)-1,-(NETWORKDAYS(K8,I8,Holidays!$A$2:$A$40)-1)))</f>
        <v>0</v>
      </c>
      <c r="N8" s="20" t="str">
        <f t="shared" ca="1" si="0"/>
        <v/>
      </c>
      <c r="O8" s="20" t="str">
        <f t="shared" ca="1" si="0"/>
        <v/>
      </c>
      <c r="P8" s="20" t="str">
        <f t="shared" ca="1" si="0"/>
        <v>●</v>
      </c>
      <c r="Q8" s="20" t="str">
        <f t="shared" ca="1" si="0"/>
        <v>●</v>
      </c>
      <c r="R8" s="20" t="str">
        <f t="shared" ca="1" si="0"/>
        <v>●</v>
      </c>
      <c r="S8" s="20" t="str">
        <f t="shared" ca="1" si="0"/>
        <v/>
      </c>
      <c r="T8" s="20" t="str">
        <f t="shared" ca="1" si="0"/>
        <v>●</v>
      </c>
      <c r="U8" s="20" t="str">
        <f t="shared" ca="1" si="0"/>
        <v>●</v>
      </c>
      <c r="V8" s="20" t="str">
        <f t="shared" ca="1" si="0"/>
        <v>●</v>
      </c>
      <c r="W8" s="20" t="str">
        <f t="shared" ca="1" si="0"/>
        <v>●</v>
      </c>
      <c r="X8" s="20" t="str">
        <f t="shared" ca="1" si="1"/>
        <v>●</v>
      </c>
      <c r="Y8" s="20" t="str">
        <f t="shared" ca="1" si="1"/>
        <v>●</v>
      </c>
      <c r="Z8" s="20" t="str">
        <f t="shared" ca="1" si="1"/>
        <v>●</v>
      </c>
      <c r="AA8" s="20" t="str">
        <f t="shared" ca="1" si="1"/>
        <v>●</v>
      </c>
      <c r="AB8" s="20" t="str">
        <f t="shared" ca="1" si="1"/>
        <v>●</v>
      </c>
      <c r="AC8" s="20" t="str">
        <f t="shared" ca="1" si="1"/>
        <v>●</v>
      </c>
      <c r="AD8" s="20" t="str">
        <f t="shared" ca="1" si="1"/>
        <v/>
      </c>
      <c r="AE8" s="20" t="str">
        <f t="shared" ca="1" si="1"/>
        <v/>
      </c>
      <c r="AF8" s="20" t="str">
        <f t="shared" ca="1" si="1"/>
        <v/>
      </c>
      <c r="AG8" s="20" t="str">
        <f t="shared" ca="1" si="1"/>
        <v/>
      </c>
      <c r="AH8" s="20" t="str">
        <f t="shared" ca="1" si="2"/>
        <v/>
      </c>
      <c r="AI8" s="20" t="str">
        <f t="shared" ca="1" si="2"/>
        <v/>
      </c>
      <c r="AJ8" s="20" t="str">
        <f t="shared" ca="1" si="2"/>
        <v/>
      </c>
      <c r="AK8" s="20" t="str">
        <f t="shared" ca="1" si="2"/>
        <v/>
      </c>
      <c r="AL8" s="20" t="str">
        <f t="shared" ca="1" si="2"/>
        <v/>
      </c>
      <c r="AM8" s="20" t="str">
        <f t="shared" ca="1" si="2"/>
        <v/>
      </c>
      <c r="AN8" s="20" t="str">
        <f t="shared" ca="1" si="2"/>
        <v/>
      </c>
      <c r="AO8" s="20" t="str">
        <f t="shared" ca="1" si="2"/>
        <v/>
      </c>
      <c r="AP8" s="20" t="str">
        <f t="shared" ca="1" si="2"/>
        <v/>
      </c>
      <c r="AQ8" s="20" t="str">
        <f t="shared" ca="1" si="2"/>
        <v/>
      </c>
      <c r="AR8" s="20" t="str">
        <f t="shared" ca="1" si="3"/>
        <v/>
      </c>
      <c r="AS8" s="20" t="str">
        <f t="shared" ca="1" si="3"/>
        <v/>
      </c>
      <c r="AT8" s="20" t="str">
        <f t="shared" ca="1" si="3"/>
        <v/>
      </c>
      <c r="AU8" s="20" t="str">
        <f t="shared" ca="1" si="3"/>
        <v/>
      </c>
      <c r="AV8" s="20" t="str">
        <f t="shared" ca="1" si="3"/>
        <v/>
      </c>
      <c r="AW8" s="20" t="str">
        <f t="shared" ca="1" si="3"/>
        <v/>
      </c>
      <c r="AX8" s="21" t="s">
        <v>48</v>
      </c>
    </row>
    <row r="9" spans="1:50" x14ac:dyDescent="0.2">
      <c r="A9" s="15" t="s">
        <v>49</v>
      </c>
      <c r="B9" s="15" t="s">
        <v>35</v>
      </c>
      <c r="C9" s="15" t="s">
        <v>50</v>
      </c>
      <c r="D9" s="23" t="s">
        <v>47</v>
      </c>
      <c r="E9" s="15">
        <v>1</v>
      </c>
      <c r="F9" s="15">
        <v>1</v>
      </c>
      <c r="G9" s="15"/>
      <c r="H9" s="17">
        <v>46286</v>
      </c>
      <c r="I9" s="17">
        <f>WORKDAY(H9,E9-1,Holidays!$A$2:$A$40)</f>
        <v>46286</v>
      </c>
      <c r="J9" s="18">
        <v>46286</v>
      </c>
      <c r="K9" s="18">
        <v>46286</v>
      </c>
      <c r="L9" s="19" t="s">
        <v>40</v>
      </c>
      <c r="M9" s="15">
        <f>IF(OR(K9="",I9=""),"",IF(K9&gt;=I9,NETWORKDAYS(I9,K9,Holidays!$A$2:$A$40)-1,-(NETWORKDAYS(K9,I9,Holidays!$A$2:$A$40)-1)))</f>
        <v>0</v>
      </c>
      <c r="N9" s="20" t="str">
        <f t="shared" ca="1" si="0"/>
        <v/>
      </c>
      <c r="O9" s="20" t="str">
        <f t="shared" ca="1" si="0"/>
        <v/>
      </c>
      <c r="P9" s="20" t="str">
        <f t="shared" ca="1" si="0"/>
        <v>●</v>
      </c>
      <c r="Q9" s="20" t="str">
        <f t="shared" ca="1" si="0"/>
        <v/>
      </c>
      <c r="R9" s="20" t="str">
        <f t="shared" ca="1" si="0"/>
        <v/>
      </c>
      <c r="S9" s="20" t="str">
        <f t="shared" ca="1" si="0"/>
        <v/>
      </c>
      <c r="T9" s="20" t="str">
        <f t="shared" ca="1" si="0"/>
        <v/>
      </c>
      <c r="U9" s="20" t="str">
        <f t="shared" ca="1" si="0"/>
        <v/>
      </c>
      <c r="V9" s="20" t="str">
        <f t="shared" ca="1" si="0"/>
        <v/>
      </c>
      <c r="W9" s="20" t="str">
        <f t="shared" ca="1" si="0"/>
        <v/>
      </c>
      <c r="X9" s="20" t="str">
        <f t="shared" ca="1" si="1"/>
        <v/>
      </c>
      <c r="Y9" s="20" t="str">
        <f t="shared" ca="1" si="1"/>
        <v/>
      </c>
      <c r="Z9" s="20" t="str">
        <f t="shared" ca="1" si="1"/>
        <v/>
      </c>
      <c r="AA9" s="20" t="str">
        <f t="shared" ca="1" si="1"/>
        <v/>
      </c>
      <c r="AB9" s="20" t="str">
        <f t="shared" ca="1" si="1"/>
        <v/>
      </c>
      <c r="AC9" s="20" t="str">
        <f t="shared" ca="1" si="1"/>
        <v/>
      </c>
      <c r="AD9" s="20" t="str">
        <f t="shared" ca="1" si="1"/>
        <v/>
      </c>
      <c r="AE9" s="20" t="str">
        <f t="shared" ca="1" si="1"/>
        <v/>
      </c>
      <c r="AF9" s="20" t="str">
        <f t="shared" ca="1" si="1"/>
        <v/>
      </c>
      <c r="AG9" s="20" t="str">
        <f t="shared" ca="1" si="1"/>
        <v/>
      </c>
      <c r="AH9" s="20" t="str">
        <f t="shared" ca="1" si="2"/>
        <v/>
      </c>
      <c r="AI9" s="20" t="str">
        <f t="shared" ca="1" si="2"/>
        <v/>
      </c>
      <c r="AJ9" s="20" t="str">
        <f t="shared" ca="1" si="2"/>
        <v/>
      </c>
      <c r="AK9" s="20" t="str">
        <f t="shared" ca="1" si="2"/>
        <v/>
      </c>
      <c r="AL9" s="20" t="str">
        <f t="shared" ca="1" si="2"/>
        <v/>
      </c>
      <c r="AM9" s="20" t="str">
        <f t="shared" ca="1" si="2"/>
        <v/>
      </c>
      <c r="AN9" s="20" t="str">
        <f t="shared" ca="1" si="2"/>
        <v/>
      </c>
      <c r="AO9" s="20" t="str">
        <f t="shared" ca="1" si="2"/>
        <v/>
      </c>
      <c r="AP9" s="20" t="str">
        <f t="shared" ca="1" si="2"/>
        <v/>
      </c>
      <c r="AQ9" s="20" t="str">
        <f t="shared" ca="1" si="2"/>
        <v/>
      </c>
      <c r="AR9" s="20" t="str">
        <f t="shared" ca="1" si="3"/>
        <v/>
      </c>
      <c r="AS9" s="20" t="str">
        <f t="shared" ca="1" si="3"/>
        <v/>
      </c>
      <c r="AT9" s="20" t="str">
        <f t="shared" ca="1" si="3"/>
        <v/>
      </c>
      <c r="AU9" s="20" t="str">
        <f t="shared" ca="1" si="3"/>
        <v/>
      </c>
      <c r="AV9" s="20" t="str">
        <f t="shared" ca="1" si="3"/>
        <v/>
      </c>
      <c r="AW9" s="20" t="str">
        <f t="shared" ca="1" si="3"/>
        <v/>
      </c>
      <c r="AX9" s="21" t="s">
        <v>48</v>
      </c>
    </row>
    <row r="10" spans="1:50" x14ac:dyDescent="0.2">
      <c r="A10" s="15" t="s">
        <v>51</v>
      </c>
      <c r="B10" s="15" t="s">
        <v>35</v>
      </c>
      <c r="C10" s="15" t="s">
        <v>52</v>
      </c>
      <c r="D10" s="24" t="s">
        <v>53</v>
      </c>
      <c r="E10" s="15">
        <v>1</v>
      </c>
      <c r="F10" s="15">
        <v>1</v>
      </c>
      <c r="G10" s="15"/>
      <c r="H10" s="17">
        <v>46293</v>
      </c>
      <c r="I10" s="17">
        <f>WORKDAY(H10,E10-1,Holidays!$A$2:$A$40)</f>
        <v>46293</v>
      </c>
      <c r="J10" s="18">
        <v>46293</v>
      </c>
      <c r="K10" s="18">
        <v>46293</v>
      </c>
      <c r="L10" s="19" t="s">
        <v>40</v>
      </c>
      <c r="M10" s="15">
        <f>IF(OR(K10="",I10=""),"",IF(K10&gt;=I10,NETWORKDAYS(I10,K10,Holidays!$A$2:$A$40)-1,-(NETWORKDAYS(K10,I10,Holidays!$A$2:$A$40)-1)))</f>
        <v>0</v>
      </c>
      <c r="N10" s="20" t="str">
        <f t="shared" ca="1" si="0"/>
        <v/>
      </c>
      <c r="O10" s="20" t="str">
        <f t="shared" ca="1" si="0"/>
        <v/>
      </c>
      <c r="P10" s="20" t="str">
        <f t="shared" ca="1" si="0"/>
        <v/>
      </c>
      <c r="Q10" s="20" t="str">
        <f t="shared" ca="1" si="0"/>
        <v/>
      </c>
      <c r="R10" s="20" t="str">
        <f t="shared" ca="1" si="0"/>
        <v/>
      </c>
      <c r="S10" s="20" t="str">
        <f t="shared" ca="1" si="0"/>
        <v/>
      </c>
      <c r="T10" s="20" t="str">
        <f t="shared" ca="1" si="0"/>
        <v/>
      </c>
      <c r="U10" s="20" t="str">
        <f t="shared" ca="1" si="0"/>
        <v>●</v>
      </c>
      <c r="V10" s="20" t="str">
        <f t="shared" ca="1" si="0"/>
        <v/>
      </c>
      <c r="W10" s="20" t="str">
        <f t="shared" ca="1" si="0"/>
        <v/>
      </c>
      <c r="X10" s="20" t="str">
        <f t="shared" ca="1" si="1"/>
        <v/>
      </c>
      <c r="Y10" s="20" t="str">
        <f t="shared" ca="1" si="1"/>
        <v/>
      </c>
      <c r="Z10" s="20" t="str">
        <f t="shared" ca="1" si="1"/>
        <v/>
      </c>
      <c r="AA10" s="20" t="str">
        <f t="shared" ca="1" si="1"/>
        <v/>
      </c>
      <c r="AB10" s="20" t="str">
        <f t="shared" ca="1" si="1"/>
        <v/>
      </c>
      <c r="AC10" s="20" t="str">
        <f t="shared" ca="1" si="1"/>
        <v/>
      </c>
      <c r="AD10" s="20" t="str">
        <f t="shared" ca="1" si="1"/>
        <v/>
      </c>
      <c r="AE10" s="20" t="str">
        <f t="shared" ca="1" si="1"/>
        <v/>
      </c>
      <c r="AF10" s="20" t="str">
        <f t="shared" ca="1" si="1"/>
        <v/>
      </c>
      <c r="AG10" s="20" t="str">
        <f t="shared" ca="1" si="1"/>
        <v/>
      </c>
      <c r="AH10" s="20" t="str">
        <f t="shared" ca="1" si="2"/>
        <v/>
      </c>
      <c r="AI10" s="20" t="str">
        <f t="shared" ca="1" si="2"/>
        <v/>
      </c>
      <c r="AJ10" s="20" t="str">
        <f t="shared" ca="1" si="2"/>
        <v/>
      </c>
      <c r="AK10" s="20" t="str">
        <f t="shared" ca="1" si="2"/>
        <v/>
      </c>
      <c r="AL10" s="20" t="str">
        <f t="shared" ca="1" si="2"/>
        <v/>
      </c>
      <c r="AM10" s="20" t="str">
        <f t="shared" ca="1" si="2"/>
        <v/>
      </c>
      <c r="AN10" s="20" t="str">
        <f t="shared" ca="1" si="2"/>
        <v/>
      </c>
      <c r="AO10" s="20" t="str">
        <f t="shared" ca="1" si="2"/>
        <v/>
      </c>
      <c r="AP10" s="20" t="str">
        <f t="shared" ca="1" si="2"/>
        <v/>
      </c>
      <c r="AQ10" s="20" t="str">
        <f t="shared" ca="1" si="2"/>
        <v/>
      </c>
      <c r="AR10" s="20" t="str">
        <f t="shared" ca="1" si="3"/>
        <v/>
      </c>
      <c r="AS10" s="20" t="str">
        <f t="shared" ca="1" si="3"/>
        <v/>
      </c>
      <c r="AT10" s="20" t="str">
        <f t="shared" ca="1" si="3"/>
        <v/>
      </c>
      <c r="AU10" s="20" t="str">
        <f t="shared" ca="1" si="3"/>
        <v/>
      </c>
      <c r="AV10" s="20" t="str">
        <f t="shared" ca="1" si="3"/>
        <v/>
      </c>
      <c r="AW10" s="20" t="str">
        <f t="shared" ca="1" si="3"/>
        <v/>
      </c>
      <c r="AX10" s="21" t="s">
        <v>54</v>
      </c>
    </row>
    <row r="11" spans="1:50" x14ac:dyDescent="0.2">
      <c r="A11" s="15" t="s">
        <v>55</v>
      </c>
      <c r="B11" s="15" t="s">
        <v>35</v>
      </c>
      <c r="C11" s="15" t="s">
        <v>56</v>
      </c>
      <c r="D11" s="23" t="s">
        <v>47</v>
      </c>
      <c r="E11" s="15">
        <v>1</v>
      </c>
      <c r="F11" s="15">
        <v>1</v>
      </c>
      <c r="G11" s="15"/>
      <c r="H11" s="17">
        <v>46293</v>
      </c>
      <c r="I11" s="17">
        <f>WORKDAY(H11,E11-1,Holidays!$A$2:$A$40)</f>
        <v>46293</v>
      </c>
      <c r="J11" s="18">
        <v>46293</v>
      </c>
      <c r="K11" s="18">
        <v>46293</v>
      </c>
      <c r="L11" s="19" t="s">
        <v>40</v>
      </c>
      <c r="M11" s="15">
        <f>IF(OR(K11="",I11=""),"",IF(K11&gt;=I11,NETWORKDAYS(I11,K11,Holidays!$A$2:$A$40)-1,-(NETWORKDAYS(K11,I11,Holidays!$A$2:$A$40)-1)))</f>
        <v>0</v>
      </c>
      <c r="N11" s="20" t="str">
        <f t="shared" ca="1" si="0"/>
        <v/>
      </c>
      <c r="O11" s="20" t="str">
        <f t="shared" ca="1" si="0"/>
        <v/>
      </c>
      <c r="P11" s="20" t="str">
        <f t="shared" ca="1" si="0"/>
        <v/>
      </c>
      <c r="Q11" s="20" t="str">
        <f t="shared" ca="1" si="0"/>
        <v/>
      </c>
      <c r="R11" s="20" t="str">
        <f t="shared" ca="1" si="0"/>
        <v/>
      </c>
      <c r="S11" s="20" t="str">
        <f t="shared" ca="1" si="0"/>
        <v/>
      </c>
      <c r="T11" s="20" t="str">
        <f t="shared" ca="1" si="0"/>
        <v/>
      </c>
      <c r="U11" s="20" t="str">
        <f t="shared" ca="1" si="0"/>
        <v>●</v>
      </c>
      <c r="V11" s="20" t="str">
        <f t="shared" ca="1" si="0"/>
        <v/>
      </c>
      <c r="W11" s="20" t="str">
        <f t="shared" ca="1" si="0"/>
        <v/>
      </c>
      <c r="X11" s="20" t="str">
        <f t="shared" ca="1" si="1"/>
        <v/>
      </c>
      <c r="Y11" s="20" t="str">
        <f t="shared" ca="1" si="1"/>
        <v/>
      </c>
      <c r="Z11" s="20" t="str">
        <f t="shared" ca="1" si="1"/>
        <v/>
      </c>
      <c r="AA11" s="20" t="str">
        <f t="shared" ca="1" si="1"/>
        <v/>
      </c>
      <c r="AB11" s="20" t="str">
        <f t="shared" ca="1" si="1"/>
        <v/>
      </c>
      <c r="AC11" s="20" t="str">
        <f t="shared" ca="1" si="1"/>
        <v/>
      </c>
      <c r="AD11" s="20" t="str">
        <f t="shared" ca="1" si="1"/>
        <v/>
      </c>
      <c r="AE11" s="20" t="str">
        <f t="shared" ca="1" si="1"/>
        <v/>
      </c>
      <c r="AF11" s="20" t="str">
        <f t="shared" ca="1" si="1"/>
        <v/>
      </c>
      <c r="AG11" s="20" t="str">
        <f t="shared" ca="1" si="1"/>
        <v/>
      </c>
      <c r="AH11" s="20" t="str">
        <f t="shared" ca="1" si="2"/>
        <v/>
      </c>
      <c r="AI11" s="20" t="str">
        <f t="shared" ca="1" si="2"/>
        <v/>
      </c>
      <c r="AJ11" s="20" t="str">
        <f t="shared" ca="1" si="2"/>
        <v/>
      </c>
      <c r="AK11" s="20" t="str">
        <f t="shared" ca="1" si="2"/>
        <v/>
      </c>
      <c r="AL11" s="20" t="str">
        <f t="shared" ca="1" si="2"/>
        <v/>
      </c>
      <c r="AM11" s="20" t="str">
        <f t="shared" ca="1" si="2"/>
        <v/>
      </c>
      <c r="AN11" s="20" t="str">
        <f t="shared" ca="1" si="2"/>
        <v/>
      </c>
      <c r="AO11" s="20" t="str">
        <f t="shared" ca="1" si="2"/>
        <v/>
      </c>
      <c r="AP11" s="20" t="str">
        <f t="shared" ca="1" si="2"/>
        <v/>
      </c>
      <c r="AQ11" s="20" t="str">
        <f t="shared" ca="1" si="2"/>
        <v/>
      </c>
      <c r="AR11" s="20" t="str">
        <f t="shared" ca="1" si="3"/>
        <v/>
      </c>
      <c r="AS11" s="20" t="str">
        <f t="shared" ca="1" si="3"/>
        <v/>
      </c>
      <c r="AT11" s="20" t="str">
        <f t="shared" ca="1" si="3"/>
        <v/>
      </c>
      <c r="AU11" s="20" t="str">
        <f t="shared" ca="1" si="3"/>
        <v/>
      </c>
      <c r="AV11" s="20" t="str">
        <f t="shared" ca="1" si="3"/>
        <v/>
      </c>
      <c r="AW11" s="20" t="str">
        <f t="shared" ca="1" si="3"/>
        <v/>
      </c>
      <c r="AX11" s="21" t="s">
        <v>48</v>
      </c>
    </row>
    <row r="12" spans="1:50" x14ac:dyDescent="0.2">
      <c r="A12" s="15" t="s">
        <v>57</v>
      </c>
      <c r="B12" s="15" t="s">
        <v>35</v>
      </c>
      <c r="C12" s="15" t="s">
        <v>58</v>
      </c>
      <c r="D12" s="23" t="s">
        <v>47</v>
      </c>
      <c r="E12" s="15">
        <v>1</v>
      </c>
      <c r="F12" s="15">
        <v>1</v>
      </c>
      <c r="G12" s="15"/>
      <c r="H12" s="17">
        <v>46300</v>
      </c>
      <c r="I12" s="17">
        <f>WORKDAY(H12,E12-1,Holidays!$A$2:$A$40)</f>
        <v>46300</v>
      </c>
      <c r="J12" s="18">
        <v>46300</v>
      </c>
      <c r="K12" s="18">
        <v>46300</v>
      </c>
      <c r="L12" s="19" t="s">
        <v>40</v>
      </c>
      <c r="M12" s="15">
        <f>IF(OR(K12="",I12=""),"",IF(K12&gt;=I12,NETWORKDAYS(I12,K12,Holidays!$A$2:$A$40)-1,-(NETWORKDAYS(K12,I12,Holidays!$A$2:$A$40)-1)))</f>
        <v>0</v>
      </c>
      <c r="N12" s="20" t="str">
        <f t="shared" ca="1" si="0"/>
        <v/>
      </c>
      <c r="O12" s="20" t="str">
        <f t="shared" ca="1" si="0"/>
        <v/>
      </c>
      <c r="P12" s="20" t="str">
        <f t="shared" ca="1" si="0"/>
        <v/>
      </c>
      <c r="Q12" s="20" t="str">
        <f t="shared" ca="1" si="0"/>
        <v/>
      </c>
      <c r="R12" s="20" t="str">
        <f t="shared" ca="1" si="0"/>
        <v/>
      </c>
      <c r="S12" s="20" t="str">
        <f t="shared" ca="1" si="0"/>
        <v/>
      </c>
      <c r="T12" s="20" t="str">
        <f t="shared" ca="1" si="0"/>
        <v/>
      </c>
      <c r="U12" s="20" t="str">
        <f t="shared" ca="1" si="0"/>
        <v/>
      </c>
      <c r="V12" s="20" t="str">
        <f t="shared" ca="1" si="0"/>
        <v/>
      </c>
      <c r="W12" s="20" t="str">
        <f t="shared" ca="1" si="0"/>
        <v/>
      </c>
      <c r="X12" s="20" t="str">
        <f t="shared" ca="1" si="1"/>
        <v/>
      </c>
      <c r="Y12" s="20" t="str">
        <f t="shared" ca="1" si="1"/>
        <v/>
      </c>
      <c r="Z12" s="20" t="str">
        <f t="shared" ca="1" si="1"/>
        <v>●</v>
      </c>
      <c r="AA12" s="20" t="str">
        <f t="shared" ca="1" si="1"/>
        <v/>
      </c>
      <c r="AB12" s="20" t="str">
        <f t="shared" ca="1" si="1"/>
        <v/>
      </c>
      <c r="AC12" s="20" t="str">
        <f t="shared" ca="1" si="1"/>
        <v/>
      </c>
      <c r="AD12" s="20" t="str">
        <f t="shared" ca="1" si="1"/>
        <v/>
      </c>
      <c r="AE12" s="20" t="str">
        <f t="shared" ca="1" si="1"/>
        <v/>
      </c>
      <c r="AF12" s="20" t="str">
        <f t="shared" ca="1" si="1"/>
        <v/>
      </c>
      <c r="AG12" s="20" t="str">
        <f t="shared" ca="1" si="1"/>
        <v/>
      </c>
      <c r="AH12" s="20" t="str">
        <f t="shared" ca="1" si="2"/>
        <v/>
      </c>
      <c r="AI12" s="20" t="str">
        <f t="shared" ca="1" si="2"/>
        <v/>
      </c>
      <c r="AJ12" s="20" t="str">
        <f t="shared" ca="1" si="2"/>
        <v/>
      </c>
      <c r="AK12" s="20" t="str">
        <f t="shared" ca="1" si="2"/>
        <v/>
      </c>
      <c r="AL12" s="20" t="str">
        <f t="shared" ca="1" si="2"/>
        <v/>
      </c>
      <c r="AM12" s="20" t="str">
        <f t="shared" ca="1" si="2"/>
        <v/>
      </c>
      <c r="AN12" s="20" t="str">
        <f t="shared" ca="1" si="2"/>
        <v/>
      </c>
      <c r="AO12" s="20" t="str">
        <f t="shared" ca="1" si="2"/>
        <v/>
      </c>
      <c r="AP12" s="20" t="str">
        <f t="shared" ca="1" si="2"/>
        <v/>
      </c>
      <c r="AQ12" s="20" t="str">
        <f t="shared" ca="1" si="2"/>
        <v/>
      </c>
      <c r="AR12" s="20" t="str">
        <f t="shared" ca="1" si="3"/>
        <v/>
      </c>
      <c r="AS12" s="20" t="str">
        <f t="shared" ca="1" si="3"/>
        <v/>
      </c>
      <c r="AT12" s="20" t="str">
        <f t="shared" ca="1" si="3"/>
        <v/>
      </c>
      <c r="AU12" s="20" t="str">
        <f t="shared" ca="1" si="3"/>
        <v/>
      </c>
      <c r="AV12" s="20" t="str">
        <f t="shared" ca="1" si="3"/>
        <v/>
      </c>
      <c r="AW12" s="20" t="str">
        <f t="shared" ca="1" si="3"/>
        <v/>
      </c>
      <c r="AX12" s="21" t="s">
        <v>48</v>
      </c>
    </row>
    <row r="13" spans="1:50" x14ac:dyDescent="0.2">
      <c r="A13" s="15" t="s">
        <v>59</v>
      </c>
      <c r="B13" s="15" t="s">
        <v>35</v>
      </c>
      <c r="C13" s="15" t="s">
        <v>60</v>
      </c>
      <c r="D13" s="22" t="s">
        <v>44</v>
      </c>
      <c r="E13" s="15">
        <v>4</v>
      </c>
      <c r="F13" s="15">
        <v>4</v>
      </c>
      <c r="G13" s="15"/>
      <c r="H13" s="17">
        <v>46300</v>
      </c>
      <c r="I13" s="17">
        <f>WORKDAY(H13,E13-1,Holidays!$A$2:$A$40)</f>
        <v>46303</v>
      </c>
      <c r="J13" s="18">
        <v>46300</v>
      </c>
      <c r="K13" s="18">
        <v>46303</v>
      </c>
      <c r="L13" s="19" t="s">
        <v>40</v>
      </c>
      <c r="M13" s="15">
        <f>IF(OR(K13="",I13=""),"",IF(K13&gt;=I13,NETWORKDAYS(I13,K13,Holidays!$A$2:$A$40)-1,-(NETWORKDAYS(K13,I13,Holidays!$A$2:$A$40)-1)))</f>
        <v>0</v>
      </c>
      <c r="N13" s="20" t="str">
        <f t="shared" ca="1" si="0"/>
        <v/>
      </c>
      <c r="O13" s="20" t="str">
        <f t="shared" ca="1" si="0"/>
        <v/>
      </c>
      <c r="P13" s="20" t="str">
        <f t="shared" ca="1" si="0"/>
        <v/>
      </c>
      <c r="Q13" s="20" t="str">
        <f t="shared" ca="1" si="0"/>
        <v/>
      </c>
      <c r="R13" s="20" t="str">
        <f t="shared" ca="1" si="0"/>
        <v/>
      </c>
      <c r="S13" s="20" t="str">
        <f t="shared" ca="1" si="0"/>
        <v/>
      </c>
      <c r="T13" s="20" t="str">
        <f t="shared" ca="1" si="0"/>
        <v/>
      </c>
      <c r="U13" s="20" t="str">
        <f t="shared" ca="1" si="0"/>
        <v/>
      </c>
      <c r="V13" s="20" t="str">
        <f t="shared" ca="1" si="0"/>
        <v/>
      </c>
      <c r="W13" s="20" t="str">
        <f t="shared" ca="1" si="0"/>
        <v/>
      </c>
      <c r="X13" s="20" t="str">
        <f t="shared" ca="1" si="1"/>
        <v/>
      </c>
      <c r="Y13" s="20" t="str">
        <f t="shared" ca="1" si="1"/>
        <v/>
      </c>
      <c r="Z13" s="20" t="str">
        <f t="shared" ca="1" si="1"/>
        <v>●</v>
      </c>
      <c r="AA13" s="20" t="str">
        <f t="shared" ca="1" si="1"/>
        <v>●</v>
      </c>
      <c r="AB13" s="20" t="str">
        <f t="shared" ca="1" si="1"/>
        <v>●</v>
      </c>
      <c r="AC13" s="20" t="str">
        <f t="shared" ca="1" si="1"/>
        <v>●</v>
      </c>
      <c r="AD13" s="20" t="str">
        <f t="shared" ca="1" si="1"/>
        <v/>
      </c>
      <c r="AE13" s="20" t="str">
        <f t="shared" ca="1" si="1"/>
        <v/>
      </c>
      <c r="AF13" s="20" t="str">
        <f t="shared" ca="1" si="1"/>
        <v/>
      </c>
      <c r="AG13" s="20" t="str">
        <f t="shared" ca="1" si="1"/>
        <v/>
      </c>
      <c r="AH13" s="20" t="str">
        <f t="shared" ca="1" si="2"/>
        <v/>
      </c>
      <c r="AI13" s="20" t="str">
        <f t="shared" ca="1" si="2"/>
        <v/>
      </c>
      <c r="AJ13" s="20" t="str">
        <f t="shared" ca="1" si="2"/>
        <v/>
      </c>
      <c r="AK13" s="20" t="str">
        <f t="shared" ca="1" si="2"/>
        <v/>
      </c>
      <c r="AL13" s="20" t="str">
        <f t="shared" ca="1" si="2"/>
        <v/>
      </c>
      <c r="AM13" s="20" t="str">
        <f t="shared" ca="1" si="2"/>
        <v/>
      </c>
      <c r="AN13" s="20" t="str">
        <f t="shared" ca="1" si="2"/>
        <v/>
      </c>
      <c r="AO13" s="20" t="str">
        <f t="shared" ca="1" si="2"/>
        <v/>
      </c>
      <c r="AP13" s="20" t="str">
        <f t="shared" ca="1" si="2"/>
        <v/>
      </c>
      <c r="AQ13" s="20" t="str">
        <f t="shared" ca="1" si="2"/>
        <v/>
      </c>
      <c r="AR13" s="20" t="str">
        <f t="shared" ca="1" si="3"/>
        <v/>
      </c>
      <c r="AS13" s="20" t="str">
        <f t="shared" ca="1" si="3"/>
        <v/>
      </c>
      <c r="AT13" s="20" t="str">
        <f t="shared" ca="1" si="3"/>
        <v/>
      </c>
      <c r="AU13" s="20" t="str">
        <f t="shared" ca="1" si="3"/>
        <v/>
      </c>
      <c r="AV13" s="20" t="str">
        <f t="shared" ca="1" si="3"/>
        <v/>
      </c>
      <c r="AW13" s="20" t="str">
        <f t="shared" ca="1" si="3"/>
        <v/>
      </c>
      <c r="AX13" s="21" t="s">
        <v>61</v>
      </c>
    </row>
    <row r="14" spans="1:50" x14ac:dyDescent="0.2">
      <c r="A14" s="15" t="s">
        <v>62</v>
      </c>
      <c r="B14" s="15" t="s">
        <v>35</v>
      </c>
      <c r="C14" s="15" t="s">
        <v>63</v>
      </c>
      <c r="D14" s="23" t="s">
        <v>47</v>
      </c>
      <c r="E14" s="15">
        <v>1</v>
      </c>
      <c r="F14" s="15">
        <v>1</v>
      </c>
      <c r="G14" s="15"/>
      <c r="H14" s="17">
        <v>46303</v>
      </c>
      <c r="I14" s="17">
        <f>WORKDAY(H14,E14-1,Holidays!$A$2:$A$40)</f>
        <v>46303</v>
      </c>
      <c r="J14" s="18">
        <v>46303</v>
      </c>
      <c r="K14" s="18">
        <v>46303</v>
      </c>
      <c r="L14" s="19" t="s">
        <v>40</v>
      </c>
      <c r="M14" s="15">
        <f>IF(OR(K14="",I14=""),"",IF(K14&gt;=I14,NETWORKDAYS(I14,K14,Holidays!$A$2:$A$40)-1,-(NETWORKDAYS(K14,I14,Holidays!$A$2:$A$40)-1)))</f>
        <v>0</v>
      </c>
      <c r="N14" s="20" t="str">
        <f t="shared" ca="1" si="0"/>
        <v/>
      </c>
      <c r="O14" s="20" t="str">
        <f t="shared" ca="1" si="0"/>
        <v/>
      </c>
      <c r="P14" s="20" t="str">
        <f t="shared" ca="1" si="0"/>
        <v/>
      </c>
      <c r="Q14" s="20" t="str">
        <f t="shared" ca="1" si="0"/>
        <v/>
      </c>
      <c r="R14" s="20" t="str">
        <f t="shared" ca="1" si="0"/>
        <v/>
      </c>
      <c r="S14" s="20" t="str">
        <f t="shared" ca="1" si="0"/>
        <v/>
      </c>
      <c r="T14" s="20" t="str">
        <f t="shared" ca="1" si="0"/>
        <v/>
      </c>
      <c r="U14" s="20" t="str">
        <f t="shared" ca="1" si="0"/>
        <v/>
      </c>
      <c r="V14" s="20" t="str">
        <f t="shared" ca="1" si="0"/>
        <v/>
      </c>
      <c r="W14" s="20" t="str">
        <f t="shared" ca="1" si="0"/>
        <v/>
      </c>
      <c r="X14" s="20" t="str">
        <f t="shared" ca="1" si="1"/>
        <v/>
      </c>
      <c r="Y14" s="20" t="str">
        <f t="shared" ca="1" si="1"/>
        <v/>
      </c>
      <c r="Z14" s="20" t="str">
        <f t="shared" ca="1" si="1"/>
        <v/>
      </c>
      <c r="AA14" s="20" t="str">
        <f t="shared" ca="1" si="1"/>
        <v/>
      </c>
      <c r="AB14" s="20" t="str">
        <f t="shared" ca="1" si="1"/>
        <v/>
      </c>
      <c r="AC14" s="20" t="str">
        <f t="shared" ca="1" si="1"/>
        <v>●</v>
      </c>
      <c r="AD14" s="20" t="str">
        <f t="shared" ca="1" si="1"/>
        <v/>
      </c>
      <c r="AE14" s="20" t="str">
        <f t="shared" ca="1" si="1"/>
        <v/>
      </c>
      <c r="AF14" s="20" t="str">
        <f t="shared" ca="1" si="1"/>
        <v/>
      </c>
      <c r="AG14" s="20" t="str">
        <f t="shared" ca="1" si="1"/>
        <v/>
      </c>
      <c r="AH14" s="20" t="str">
        <f t="shared" ca="1" si="2"/>
        <v/>
      </c>
      <c r="AI14" s="20" t="str">
        <f t="shared" ca="1" si="2"/>
        <v/>
      </c>
      <c r="AJ14" s="20" t="str">
        <f t="shared" ca="1" si="2"/>
        <v/>
      </c>
      <c r="AK14" s="20" t="str">
        <f t="shared" ca="1" si="2"/>
        <v/>
      </c>
      <c r="AL14" s="20" t="str">
        <f t="shared" ca="1" si="2"/>
        <v/>
      </c>
      <c r="AM14" s="20" t="str">
        <f t="shared" ca="1" si="2"/>
        <v/>
      </c>
      <c r="AN14" s="20" t="str">
        <f t="shared" ca="1" si="2"/>
        <v/>
      </c>
      <c r="AO14" s="20" t="str">
        <f t="shared" ca="1" si="2"/>
        <v/>
      </c>
      <c r="AP14" s="20" t="str">
        <f t="shared" ca="1" si="2"/>
        <v/>
      </c>
      <c r="AQ14" s="20" t="str">
        <f t="shared" ca="1" si="2"/>
        <v/>
      </c>
      <c r="AR14" s="20" t="str">
        <f t="shared" ca="1" si="3"/>
        <v/>
      </c>
      <c r="AS14" s="20" t="str">
        <f t="shared" ca="1" si="3"/>
        <v/>
      </c>
      <c r="AT14" s="20" t="str">
        <f t="shared" ca="1" si="3"/>
        <v/>
      </c>
      <c r="AU14" s="20" t="str">
        <f t="shared" ca="1" si="3"/>
        <v/>
      </c>
      <c r="AV14" s="20" t="str">
        <f t="shared" ca="1" si="3"/>
        <v/>
      </c>
      <c r="AW14" s="20" t="str">
        <f t="shared" ca="1" si="3"/>
        <v/>
      </c>
      <c r="AX14" s="21" t="s">
        <v>48</v>
      </c>
    </row>
    <row r="15" spans="1:50" x14ac:dyDescent="0.2">
      <c r="A15" s="25" t="s">
        <v>64</v>
      </c>
      <c r="B15" s="26" t="s">
        <v>64</v>
      </c>
      <c r="C15" s="26" t="s">
        <v>65</v>
      </c>
      <c r="D15" s="26"/>
      <c r="E15" s="26">
        <f>NETWORKDAYS(H15,I15,Holidays!$A$2:$A$40)</f>
        <v>12</v>
      </c>
      <c r="F15" s="26"/>
      <c r="G15" s="26"/>
      <c r="H15" s="27">
        <f>MIN(H16:H24)</f>
        <v>46304</v>
      </c>
      <c r="I15" s="27">
        <f>MAX(I16:I24)</f>
        <v>46322</v>
      </c>
      <c r="J15" s="26"/>
      <c r="K15" s="26"/>
      <c r="L15" s="26"/>
      <c r="M15" s="26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</row>
    <row r="16" spans="1:50" x14ac:dyDescent="0.2">
      <c r="A16" s="15" t="s">
        <v>66</v>
      </c>
      <c r="B16" s="15" t="s">
        <v>64</v>
      </c>
      <c r="C16" s="15" t="s">
        <v>67</v>
      </c>
      <c r="D16" s="22" t="s">
        <v>44</v>
      </c>
      <c r="E16" s="15">
        <v>1</v>
      </c>
      <c r="F16" s="15">
        <v>1</v>
      </c>
      <c r="G16" s="15"/>
      <c r="H16" s="17">
        <v>46304</v>
      </c>
      <c r="I16" s="17">
        <f>WORKDAY(H16,E16-1,Holidays!$A$2:$A$40)</f>
        <v>46304</v>
      </c>
      <c r="J16" s="18"/>
      <c r="K16" s="18"/>
      <c r="L16" s="19" t="s">
        <v>68</v>
      </c>
      <c r="M16" s="15" t="str">
        <f>IF(OR(K16="",I16=""),"",IF(K16&gt;=I16,NETWORKDAYS(I16,K16,Holidays!$A$2:$A$40)-1,-(NETWORKDAYS(K16,I16,Holidays!$A$2:$A$40)-1)))</f>
        <v/>
      </c>
      <c r="N16" s="20" t="str">
        <f t="shared" ref="N16:W24" ca="1" si="4">IF(AND($J16&lt;&gt;"",N$4&gt;=$J16,N$4&lt;=IF($K16="",TODAY(),$K16),N$65=0),"●","")</f>
        <v/>
      </c>
      <c r="O16" s="20" t="str">
        <f t="shared" ca="1" si="4"/>
        <v/>
      </c>
      <c r="P16" s="20" t="str">
        <f t="shared" ca="1" si="4"/>
        <v/>
      </c>
      <c r="Q16" s="20" t="str">
        <f t="shared" ca="1" si="4"/>
        <v/>
      </c>
      <c r="R16" s="20" t="str">
        <f t="shared" ca="1" si="4"/>
        <v/>
      </c>
      <c r="S16" s="20" t="str">
        <f t="shared" ca="1" si="4"/>
        <v/>
      </c>
      <c r="T16" s="20" t="str">
        <f t="shared" ca="1" si="4"/>
        <v/>
      </c>
      <c r="U16" s="20" t="str">
        <f t="shared" ca="1" si="4"/>
        <v/>
      </c>
      <c r="V16" s="20" t="str">
        <f t="shared" ca="1" si="4"/>
        <v/>
      </c>
      <c r="W16" s="20" t="str">
        <f t="shared" ca="1" si="4"/>
        <v/>
      </c>
      <c r="X16" s="20" t="str">
        <f t="shared" ref="X16:AG24" ca="1" si="5">IF(AND($J16&lt;&gt;"",X$4&gt;=$J16,X$4&lt;=IF($K16="",TODAY(),$K16),X$65=0),"●","")</f>
        <v/>
      </c>
      <c r="Y16" s="20" t="str">
        <f t="shared" ca="1" si="5"/>
        <v/>
      </c>
      <c r="Z16" s="20" t="str">
        <f t="shared" ca="1" si="5"/>
        <v/>
      </c>
      <c r="AA16" s="20" t="str">
        <f t="shared" ca="1" si="5"/>
        <v/>
      </c>
      <c r="AB16" s="20" t="str">
        <f t="shared" ca="1" si="5"/>
        <v/>
      </c>
      <c r="AC16" s="20" t="str">
        <f t="shared" ca="1" si="5"/>
        <v/>
      </c>
      <c r="AD16" s="20" t="str">
        <f t="shared" ca="1" si="5"/>
        <v/>
      </c>
      <c r="AE16" s="20" t="str">
        <f t="shared" ca="1" si="5"/>
        <v/>
      </c>
      <c r="AF16" s="20" t="str">
        <f t="shared" ca="1" si="5"/>
        <v/>
      </c>
      <c r="AG16" s="20" t="str">
        <f t="shared" ca="1" si="5"/>
        <v/>
      </c>
      <c r="AH16" s="20" t="str">
        <f t="shared" ref="AH16:AQ24" ca="1" si="6">IF(AND($J16&lt;&gt;"",AH$4&gt;=$J16,AH$4&lt;=IF($K16="",TODAY(),$K16),AH$65=0),"●","")</f>
        <v/>
      </c>
      <c r="AI16" s="20" t="str">
        <f t="shared" ca="1" si="6"/>
        <v/>
      </c>
      <c r="AJ16" s="20" t="str">
        <f t="shared" ca="1" si="6"/>
        <v/>
      </c>
      <c r="AK16" s="20" t="str">
        <f t="shared" ca="1" si="6"/>
        <v/>
      </c>
      <c r="AL16" s="20" t="str">
        <f t="shared" ca="1" si="6"/>
        <v/>
      </c>
      <c r="AM16" s="20" t="str">
        <f t="shared" ca="1" si="6"/>
        <v/>
      </c>
      <c r="AN16" s="20" t="str">
        <f t="shared" ca="1" si="6"/>
        <v/>
      </c>
      <c r="AO16" s="20" t="str">
        <f t="shared" ca="1" si="6"/>
        <v/>
      </c>
      <c r="AP16" s="20" t="str">
        <f t="shared" ca="1" si="6"/>
        <v/>
      </c>
      <c r="AQ16" s="20" t="str">
        <f t="shared" ca="1" si="6"/>
        <v/>
      </c>
      <c r="AR16" s="20" t="str">
        <f t="shared" ref="AR16:AW24" ca="1" si="7">IF(AND($J16&lt;&gt;"",AR$4&gt;=$J16,AR$4&lt;=IF($K16="",TODAY(),$K16),AR$65=0),"●","")</f>
        <v/>
      </c>
      <c r="AS16" s="20" t="str">
        <f t="shared" ca="1" si="7"/>
        <v/>
      </c>
      <c r="AT16" s="20" t="str">
        <f t="shared" ca="1" si="7"/>
        <v/>
      </c>
      <c r="AU16" s="20" t="str">
        <f t="shared" ca="1" si="7"/>
        <v/>
      </c>
      <c r="AV16" s="20" t="str">
        <f t="shared" ca="1" si="7"/>
        <v/>
      </c>
      <c r="AW16" s="20" t="str">
        <f t="shared" ca="1" si="7"/>
        <v/>
      </c>
      <c r="AX16" s="21" t="s">
        <v>69</v>
      </c>
    </row>
    <row r="17" spans="1:50" x14ac:dyDescent="0.2">
      <c r="A17" s="15" t="s">
        <v>70</v>
      </c>
      <c r="B17" s="15" t="s">
        <v>64</v>
      </c>
      <c r="C17" s="15" t="s">
        <v>71</v>
      </c>
      <c r="D17" s="24" t="s">
        <v>53</v>
      </c>
      <c r="E17" s="15">
        <v>1</v>
      </c>
      <c r="F17" s="15">
        <v>1</v>
      </c>
      <c r="G17" s="15" t="s">
        <v>66</v>
      </c>
      <c r="H17" s="17">
        <v>46304</v>
      </c>
      <c r="I17" s="17">
        <f>WORKDAY(H17,E17-1,Holidays!$A$2:$A$40)</f>
        <v>46304</v>
      </c>
      <c r="J17" s="18"/>
      <c r="K17" s="18"/>
      <c r="L17" s="19" t="s">
        <v>68</v>
      </c>
      <c r="M17" s="15" t="str">
        <f>IF(OR(K17="",I17=""),"",IF(K17&gt;=I17,NETWORKDAYS(I17,K17,Holidays!$A$2:$A$40)-1,-(NETWORKDAYS(K17,I17,Holidays!$A$2:$A$40)-1)))</f>
        <v/>
      </c>
      <c r="N17" s="20" t="str">
        <f t="shared" ca="1" si="4"/>
        <v/>
      </c>
      <c r="O17" s="20" t="str">
        <f t="shared" ca="1" si="4"/>
        <v/>
      </c>
      <c r="P17" s="20" t="str">
        <f t="shared" ca="1" si="4"/>
        <v/>
      </c>
      <c r="Q17" s="20" t="str">
        <f t="shared" ca="1" si="4"/>
        <v/>
      </c>
      <c r="R17" s="20" t="str">
        <f t="shared" ca="1" si="4"/>
        <v/>
      </c>
      <c r="S17" s="20" t="str">
        <f t="shared" ca="1" si="4"/>
        <v/>
      </c>
      <c r="T17" s="20" t="str">
        <f t="shared" ca="1" si="4"/>
        <v/>
      </c>
      <c r="U17" s="20" t="str">
        <f t="shared" ca="1" si="4"/>
        <v/>
      </c>
      <c r="V17" s="20" t="str">
        <f t="shared" ca="1" si="4"/>
        <v/>
      </c>
      <c r="W17" s="20" t="str">
        <f t="shared" ca="1" si="4"/>
        <v/>
      </c>
      <c r="X17" s="20" t="str">
        <f t="shared" ca="1" si="5"/>
        <v/>
      </c>
      <c r="Y17" s="20" t="str">
        <f t="shared" ca="1" si="5"/>
        <v/>
      </c>
      <c r="Z17" s="20" t="str">
        <f t="shared" ca="1" si="5"/>
        <v/>
      </c>
      <c r="AA17" s="20" t="str">
        <f t="shared" ca="1" si="5"/>
        <v/>
      </c>
      <c r="AB17" s="20" t="str">
        <f t="shared" ca="1" si="5"/>
        <v/>
      </c>
      <c r="AC17" s="20" t="str">
        <f t="shared" ca="1" si="5"/>
        <v/>
      </c>
      <c r="AD17" s="20" t="str">
        <f t="shared" ca="1" si="5"/>
        <v/>
      </c>
      <c r="AE17" s="20" t="str">
        <f t="shared" ca="1" si="5"/>
        <v/>
      </c>
      <c r="AF17" s="20" t="str">
        <f t="shared" ca="1" si="5"/>
        <v/>
      </c>
      <c r="AG17" s="20" t="str">
        <f t="shared" ca="1" si="5"/>
        <v/>
      </c>
      <c r="AH17" s="20" t="str">
        <f t="shared" ca="1" si="6"/>
        <v/>
      </c>
      <c r="AI17" s="20" t="str">
        <f t="shared" ca="1" si="6"/>
        <v/>
      </c>
      <c r="AJ17" s="20" t="str">
        <f t="shared" ca="1" si="6"/>
        <v/>
      </c>
      <c r="AK17" s="20" t="str">
        <f t="shared" ca="1" si="6"/>
        <v/>
      </c>
      <c r="AL17" s="20" t="str">
        <f t="shared" ca="1" si="6"/>
        <v/>
      </c>
      <c r="AM17" s="20" t="str">
        <f t="shared" ca="1" si="6"/>
        <v/>
      </c>
      <c r="AN17" s="20" t="str">
        <f t="shared" ca="1" si="6"/>
        <v/>
      </c>
      <c r="AO17" s="20" t="str">
        <f t="shared" ca="1" si="6"/>
        <v/>
      </c>
      <c r="AP17" s="20" t="str">
        <f t="shared" ca="1" si="6"/>
        <v/>
      </c>
      <c r="AQ17" s="20" t="str">
        <f t="shared" ca="1" si="6"/>
        <v/>
      </c>
      <c r="AR17" s="20" t="str">
        <f t="shared" ca="1" si="7"/>
        <v/>
      </c>
      <c r="AS17" s="20" t="str">
        <f t="shared" ca="1" si="7"/>
        <v/>
      </c>
      <c r="AT17" s="20" t="str">
        <f t="shared" ca="1" si="7"/>
        <v/>
      </c>
      <c r="AU17" s="20" t="str">
        <f t="shared" ca="1" si="7"/>
        <v/>
      </c>
      <c r="AV17" s="20" t="str">
        <f t="shared" ca="1" si="7"/>
        <v/>
      </c>
      <c r="AW17" s="20" t="str">
        <f t="shared" ca="1" si="7"/>
        <v/>
      </c>
      <c r="AX17" s="21" t="s">
        <v>72</v>
      </c>
    </row>
    <row r="18" spans="1:50" x14ac:dyDescent="0.2">
      <c r="A18" s="15" t="s">
        <v>73</v>
      </c>
      <c r="B18" s="15" t="s">
        <v>64</v>
      </c>
      <c r="C18" s="15" t="s">
        <v>74</v>
      </c>
      <c r="D18" s="16" t="s">
        <v>39</v>
      </c>
      <c r="E18" s="15">
        <v>1</v>
      </c>
      <c r="F18" s="15">
        <v>1</v>
      </c>
      <c r="G18" s="15" t="s">
        <v>66</v>
      </c>
      <c r="H18" s="17">
        <v>46304</v>
      </c>
      <c r="I18" s="17">
        <f>WORKDAY(H18,E18-1,Holidays!$A$2:$A$40)</f>
        <v>46304</v>
      </c>
      <c r="J18" s="18"/>
      <c r="K18" s="18"/>
      <c r="L18" s="19" t="s">
        <v>68</v>
      </c>
      <c r="M18" s="15" t="str">
        <f>IF(OR(K18="",I18=""),"",IF(K18&gt;=I18,NETWORKDAYS(I18,K18,Holidays!$A$2:$A$40)-1,-(NETWORKDAYS(K18,I18,Holidays!$A$2:$A$40)-1)))</f>
        <v/>
      </c>
      <c r="N18" s="20" t="str">
        <f t="shared" ca="1" si="4"/>
        <v/>
      </c>
      <c r="O18" s="20" t="str">
        <f t="shared" ca="1" si="4"/>
        <v/>
      </c>
      <c r="P18" s="20" t="str">
        <f t="shared" ca="1" si="4"/>
        <v/>
      </c>
      <c r="Q18" s="20" t="str">
        <f t="shared" ca="1" si="4"/>
        <v/>
      </c>
      <c r="R18" s="20" t="str">
        <f t="shared" ca="1" si="4"/>
        <v/>
      </c>
      <c r="S18" s="20" t="str">
        <f t="shared" ca="1" si="4"/>
        <v/>
      </c>
      <c r="T18" s="20" t="str">
        <f t="shared" ca="1" si="4"/>
        <v/>
      </c>
      <c r="U18" s="20" t="str">
        <f t="shared" ca="1" si="4"/>
        <v/>
      </c>
      <c r="V18" s="20" t="str">
        <f t="shared" ca="1" si="4"/>
        <v/>
      </c>
      <c r="W18" s="20" t="str">
        <f t="shared" ca="1" si="4"/>
        <v/>
      </c>
      <c r="X18" s="20" t="str">
        <f t="shared" ca="1" si="5"/>
        <v/>
      </c>
      <c r="Y18" s="20" t="str">
        <f t="shared" ca="1" si="5"/>
        <v/>
      </c>
      <c r="Z18" s="20" t="str">
        <f t="shared" ca="1" si="5"/>
        <v/>
      </c>
      <c r="AA18" s="20" t="str">
        <f t="shared" ca="1" si="5"/>
        <v/>
      </c>
      <c r="AB18" s="20" t="str">
        <f t="shared" ca="1" si="5"/>
        <v/>
      </c>
      <c r="AC18" s="20" t="str">
        <f t="shared" ca="1" si="5"/>
        <v/>
      </c>
      <c r="AD18" s="20" t="str">
        <f t="shared" ca="1" si="5"/>
        <v/>
      </c>
      <c r="AE18" s="20" t="str">
        <f t="shared" ca="1" si="5"/>
        <v/>
      </c>
      <c r="AF18" s="20" t="str">
        <f t="shared" ca="1" si="5"/>
        <v/>
      </c>
      <c r="AG18" s="20" t="str">
        <f t="shared" ca="1" si="5"/>
        <v/>
      </c>
      <c r="AH18" s="20" t="str">
        <f t="shared" ca="1" si="6"/>
        <v/>
      </c>
      <c r="AI18" s="20" t="str">
        <f t="shared" ca="1" si="6"/>
        <v/>
      </c>
      <c r="AJ18" s="20" t="str">
        <f t="shared" ca="1" si="6"/>
        <v/>
      </c>
      <c r="AK18" s="20" t="str">
        <f t="shared" ca="1" si="6"/>
        <v/>
      </c>
      <c r="AL18" s="20" t="str">
        <f t="shared" ca="1" si="6"/>
        <v/>
      </c>
      <c r="AM18" s="20" t="str">
        <f t="shared" ca="1" si="6"/>
        <v/>
      </c>
      <c r="AN18" s="20" t="str">
        <f t="shared" ca="1" si="6"/>
        <v/>
      </c>
      <c r="AO18" s="20" t="str">
        <f t="shared" ca="1" si="6"/>
        <v/>
      </c>
      <c r="AP18" s="20" t="str">
        <f t="shared" ca="1" si="6"/>
        <v/>
      </c>
      <c r="AQ18" s="20" t="str">
        <f t="shared" ca="1" si="6"/>
        <v/>
      </c>
      <c r="AR18" s="20" t="str">
        <f t="shared" ca="1" si="7"/>
        <v/>
      </c>
      <c r="AS18" s="20" t="str">
        <f t="shared" ca="1" si="7"/>
        <v/>
      </c>
      <c r="AT18" s="20" t="str">
        <f t="shared" ca="1" si="7"/>
        <v/>
      </c>
      <c r="AU18" s="20" t="str">
        <f t="shared" ca="1" si="7"/>
        <v/>
      </c>
      <c r="AV18" s="20" t="str">
        <f t="shared" ca="1" si="7"/>
        <v/>
      </c>
      <c r="AW18" s="20" t="str">
        <f t="shared" ca="1" si="7"/>
        <v/>
      </c>
      <c r="AX18" s="21" t="s">
        <v>75</v>
      </c>
    </row>
    <row r="19" spans="1:50" x14ac:dyDescent="0.2">
      <c r="A19" s="15" t="s">
        <v>76</v>
      </c>
      <c r="B19" s="15" t="s">
        <v>64</v>
      </c>
      <c r="C19" s="15" t="s">
        <v>77</v>
      </c>
      <c r="D19" s="28" t="s">
        <v>78</v>
      </c>
      <c r="E19" s="15">
        <v>1</v>
      </c>
      <c r="F19" s="15">
        <v>1</v>
      </c>
      <c r="G19" s="15" t="s">
        <v>66</v>
      </c>
      <c r="H19" s="17">
        <v>46304</v>
      </c>
      <c r="I19" s="17">
        <f>WORKDAY(H19,E19-1,Holidays!$A$2:$A$40)</f>
        <v>46304</v>
      </c>
      <c r="J19" s="18"/>
      <c r="K19" s="18"/>
      <c r="L19" s="19" t="s">
        <v>68</v>
      </c>
      <c r="M19" s="15" t="str">
        <f>IF(OR(K19="",I19=""),"",IF(K19&gt;=I19,NETWORKDAYS(I19,K19,Holidays!$A$2:$A$40)-1,-(NETWORKDAYS(K19,I19,Holidays!$A$2:$A$40)-1)))</f>
        <v/>
      </c>
      <c r="N19" s="20" t="str">
        <f t="shared" ca="1" si="4"/>
        <v/>
      </c>
      <c r="O19" s="20" t="str">
        <f t="shared" ca="1" si="4"/>
        <v/>
      </c>
      <c r="P19" s="20" t="str">
        <f t="shared" ca="1" si="4"/>
        <v/>
      </c>
      <c r="Q19" s="20" t="str">
        <f t="shared" ca="1" si="4"/>
        <v/>
      </c>
      <c r="R19" s="20" t="str">
        <f t="shared" ca="1" si="4"/>
        <v/>
      </c>
      <c r="S19" s="20" t="str">
        <f t="shared" ca="1" si="4"/>
        <v/>
      </c>
      <c r="T19" s="20" t="str">
        <f t="shared" ca="1" si="4"/>
        <v/>
      </c>
      <c r="U19" s="20" t="str">
        <f t="shared" ca="1" si="4"/>
        <v/>
      </c>
      <c r="V19" s="20" t="str">
        <f t="shared" ca="1" si="4"/>
        <v/>
      </c>
      <c r="W19" s="20" t="str">
        <f t="shared" ca="1" si="4"/>
        <v/>
      </c>
      <c r="X19" s="20" t="str">
        <f t="shared" ca="1" si="5"/>
        <v/>
      </c>
      <c r="Y19" s="20" t="str">
        <f t="shared" ca="1" si="5"/>
        <v/>
      </c>
      <c r="Z19" s="20" t="str">
        <f t="shared" ca="1" si="5"/>
        <v/>
      </c>
      <c r="AA19" s="20" t="str">
        <f t="shared" ca="1" si="5"/>
        <v/>
      </c>
      <c r="AB19" s="20" t="str">
        <f t="shared" ca="1" si="5"/>
        <v/>
      </c>
      <c r="AC19" s="20" t="str">
        <f t="shared" ca="1" si="5"/>
        <v/>
      </c>
      <c r="AD19" s="20" t="str">
        <f t="shared" ca="1" si="5"/>
        <v/>
      </c>
      <c r="AE19" s="20" t="str">
        <f t="shared" ca="1" si="5"/>
        <v/>
      </c>
      <c r="AF19" s="20" t="str">
        <f t="shared" ca="1" si="5"/>
        <v/>
      </c>
      <c r="AG19" s="20" t="str">
        <f t="shared" ca="1" si="5"/>
        <v/>
      </c>
      <c r="AH19" s="20" t="str">
        <f t="shared" ca="1" si="6"/>
        <v/>
      </c>
      <c r="AI19" s="20" t="str">
        <f t="shared" ca="1" si="6"/>
        <v/>
      </c>
      <c r="AJ19" s="20" t="str">
        <f t="shared" ca="1" si="6"/>
        <v/>
      </c>
      <c r="AK19" s="20" t="str">
        <f t="shared" ca="1" si="6"/>
        <v/>
      </c>
      <c r="AL19" s="20" t="str">
        <f t="shared" ca="1" si="6"/>
        <v/>
      </c>
      <c r="AM19" s="20" t="str">
        <f t="shared" ca="1" si="6"/>
        <v/>
      </c>
      <c r="AN19" s="20" t="str">
        <f t="shared" ca="1" si="6"/>
        <v/>
      </c>
      <c r="AO19" s="20" t="str">
        <f t="shared" ca="1" si="6"/>
        <v/>
      </c>
      <c r="AP19" s="20" t="str">
        <f t="shared" ca="1" si="6"/>
        <v/>
      </c>
      <c r="AQ19" s="20" t="str">
        <f t="shared" ca="1" si="6"/>
        <v/>
      </c>
      <c r="AR19" s="20" t="str">
        <f t="shared" ca="1" si="7"/>
        <v/>
      </c>
      <c r="AS19" s="20" t="str">
        <f t="shared" ca="1" si="7"/>
        <v/>
      </c>
      <c r="AT19" s="20" t="str">
        <f t="shared" ca="1" si="7"/>
        <v/>
      </c>
      <c r="AU19" s="20" t="str">
        <f t="shared" ca="1" si="7"/>
        <v/>
      </c>
      <c r="AV19" s="20" t="str">
        <f t="shared" ca="1" si="7"/>
        <v/>
      </c>
      <c r="AW19" s="20" t="str">
        <f t="shared" ca="1" si="7"/>
        <v/>
      </c>
      <c r="AX19" s="21" t="s">
        <v>79</v>
      </c>
    </row>
    <row r="20" spans="1:50" x14ac:dyDescent="0.2">
      <c r="A20" s="15" t="s">
        <v>80</v>
      </c>
      <c r="B20" s="15" t="s">
        <v>64</v>
      </c>
      <c r="C20" s="15" t="s">
        <v>81</v>
      </c>
      <c r="D20" s="29" t="s">
        <v>82</v>
      </c>
      <c r="E20" s="15">
        <v>1</v>
      </c>
      <c r="F20" s="15">
        <v>1</v>
      </c>
      <c r="G20" s="15" t="s">
        <v>66</v>
      </c>
      <c r="H20" s="17">
        <v>46304</v>
      </c>
      <c r="I20" s="17">
        <f>WORKDAY(H20,E20-1,Holidays!$A$2:$A$40)</f>
        <v>46304</v>
      </c>
      <c r="J20" s="18"/>
      <c r="K20" s="18"/>
      <c r="L20" s="19" t="s">
        <v>68</v>
      </c>
      <c r="M20" s="15" t="str">
        <f>IF(OR(K20="",I20=""),"",IF(K20&gt;=I20,NETWORKDAYS(I20,K20,Holidays!$A$2:$A$40)-1,-(NETWORKDAYS(K20,I20,Holidays!$A$2:$A$40)-1)))</f>
        <v/>
      </c>
      <c r="N20" s="20" t="str">
        <f t="shared" ca="1" si="4"/>
        <v/>
      </c>
      <c r="O20" s="20" t="str">
        <f t="shared" ca="1" si="4"/>
        <v/>
      </c>
      <c r="P20" s="20" t="str">
        <f t="shared" ca="1" si="4"/>
        <v/>
      </c>
      <c r="Q20" s="20" t="str">
        <f t="shared" ca="1" si="4"/>
        <v/>
      </c>
      <c r="R20" s="20" t="str">
        <f t="shared" ca="1" si="4"/>
        <v/>
      </c>
      <c r="S20" s="20" t="str">
        <f t="shared" ca="1" si="4"/>
        <v/>
      </c>
      <c r="T20" s="20" t="str">
        <f t="shared" ca="1" si="4"/>
        <v/>
      </c>
      <c r="U20" s="20" t="str">
        <f t="shared" ca="1" si="4"/>
        <v/>
      </c>
      <c r="V20" s="20" t="str">
        <f t="shared" ca="1" si="4"/>
        <v/>
      </c>
      <c r="W20" s="20" t="str">
        <f t="shared" ca="1" si="4"/>
        <v/>
      </c>
      <c r="X20" s="20" t="str">
        <f t="shared" ca="1" si="5"/>
        <v/>
      </c>
      <c r="Y20" s="20" t="str">
        <f t="shared" ca="1" si="5"/>
        <v/>
      </c>
      <c r="Z20" s="20" t="str">
        <f t="shared" ca="1" si="5"/>
        <v/>
      </c>
      <c r="AA20" s="20" t="str">
        <f t="shared" ca="1" si="5"/>
        <v/>
      </c>
      <c r="AB20" s="20" t="str">
        <f t="shared" ca="1" si="5"/>
        <v/>
      </c>
      <c r="AC20" s="20" t="str">
        <f t="shared" ca="1" si="5"/>
        <v/>
      </c>
      <c r="AD20" s="20" t="str">
        <f t="shared" ca="1" si="5"/>
        <v/>
      </c>
      <c r="AE20" s="20" t="str">
        <f t="shared" ca="1" si="5"/>
        <v/>
      </c>
      <c r="AF20" s="20" t="str">
        <f t="shared" ca="1" si="5"/>
        <v/>
      </c>
      <c r="AG20" s="20" t="str">
        <f t="shared" ca="1" si="5"/>
        <v/>
      </c>
      <c r="AH20" s="20" t="str">
        <f t="shared" ca="1" si="6"/>
        <v/>
      </c>
      <c r="AI20" s="20" t="str">
        <f t="shared" ca="1" si="6"/>
        <v/>
      </c>
      <c r="AJ20" s="20" t="str">
        <f t="shared" ca="1" si="6"/>
        <v/>
      </c>
      <c r="AK20" s="20" t="str">
        <f t="shared" ca="1" si="6"/>
        <v/>
      </c>
      <c r="AL20" s="20" t="str">
        <f t="shared" ca="1" si="6"/>
        <v/>
      </c>
      <c r="AM20" s="20" t="str">
        <f t="shared" ca="1" si="6"/>
        <v/>
      </c>
      <c r="AN20" s="20" t="str">
        <f t="shared" ca="1" si="6"/>
        <v/>
      </c>
      <c r="AO20" s="20" t="str">
        <f t="shared" ca="1" si="6"/>
        <v/>
      </c>
      <c r="AP20" s="20" t="str">
        <f t="shared" ca="1" si="6"/>
        <v/>
      </c>
      <c r="AQ20" s="20" t="str">
        <f t="shared" ca="1" si="6"/>
        <v/>
      </c>
      <c r="AR20" s="20" t="str">
        <f t="shared" ca="1" si="7"/>
        <v/>
      </c>
      <c r="AS20" s="20" t="str">
        <f t="shared" ca="1" si="7"/>
        <v/>
      </c>
      <c r="AT20" s="20" t="str">
        <f t="shared" ca="1" si="7"/>
        <v/>
      </c>
      <c r="AU20" s="20" t="str">
        <f t="shared" ca="1" si="7"/>
        <v/>
      </c>
      <c r="AV20" s="20" t="str">
        <f t="shared" ca="1" si="7"/>
        <v/>
      </c>
      <c r="AW20" s="20" t="str">
        <f t="shared" ca="1" si="7"/>
        <v/>
      </c>
      <c r="AX20" s="21" t="s">
        <v>83</v>
      </c>
    </row>
    <row r="21" spans="1:50" x14ac:dyDescent="0.2">
      <c r="A21" s="15" t="s">
        <v>84</v>
      </c>
      <c r="B21" s="15" t="s">
        <v>64</v>
      </c>
      <c r="C21" s="15" t="s">
        <v>85</v>
      </c>
      <c r="D21" s="22" t="s">
        <v>44</v>
      </c>
      <c r="E21" s="15">
        <v>1</v>
      </c>
      <c r="F21" s="15">
        <v>1</v>
      </c>
      <c r="G21" s="15" t="s">
        <v>70</v>
      </c>
      <c r="H21" s="17">
        <v>46308</v>
      </c>
      <c r="I21" s="17">
        <f>WORKDAY(H21,E21-1,Holidays!$A$2:$A$40)</f>
        <v>46308</v>
      </c>
      <c r="J21" s="18"/>
      <c r="K21" s="18"/>
      <c r="L21" s="19" t="s">
        <v>68</v>
      </c>
      <c r="M21" s="15" t="str">
        <f>IF(OR(K21="",I21=""),"",IF(K21&gt;=I21,NETWORKDAYS(I21,K21,Holidays!$A$2:$A$40)-1,-(NETWORKDAYS(K21,I21,Holidays!$A$2:$A$40)-1)))</f>
        <v/>
      </c>
      <c r="N21" s="20" t="str">
        <f t="shared" ca="1" si="4"/>
        <v/>
      </c>
      <c r="O21" s="20" t="str">
        <f t="shared" ca="1" si="4"/>
        <v/>
      </c>
      <c r="P21" s="20" t="str">
        <f t="shared" ca="1" si="4"/>
        <v/>
      </c>
      <c r="Q21" s="20" t="str">
        <f t="shared" ca="1" si="4"/>
        <v/>
      </c>
      <c r="R21" s="20" t="str">
        <f t="shared" ca="1" si="4"/>
        <v/>
      </c>
      <c r="S21" s="20" t="str">
        <f t="shared" ca="1" si="4"/>
        <v/>
      </c>
      <c r="T21" s="20" t="str">
        <f t="shared" ca="1" si="4"/>
        <v/>
      </c>
      <c r="U21" s="20" t="str">
        <f t="shared" ca="1" si="4"/>
        <v/>
      </c>
      <c r="V21" s="20" t="str">
        <f t="shared" ca="1" si="4"/>
        <v/>
      </c>
      <c r="W21" s="20" t="str">
        <f t="shared" ca="1" si="4"/>
        <v/>
      </c>
      <c r="X21" s="20" t="str">
        <f t="shared" ca="1" si="5"/>
        <v/>
      </c>
      <c r="Y21" s="20" t="str">
        <f t="shared" ca="1" si="5"/>
        <v/>
      </c>
      <c r="Z21" s="20" t="str">
        <f t="shared" ca="1" si="5"/>
        <v/>
      </c>
      <c r="AA21" s="20" t="str">
        <f t="shared" ca="1" si="5"/>
        <v/>
      </c>
      <c r="AB21" s="20" t="str">
        <f t="shared" ca="1" si="5"/>
        <v/>
      </c>
      <c r="AC21" s="20" t="str">
        <f t="shared" ca="1" si="5"/>
        <v/>
      </c>
      <c r="AD21" s="20" t="str">
        <f t="shared" ca="1" si="5"/>
        <v/>
      </c>
      <c r="AE21" s="20" t="str">
        <f t="shared" ca="1" si="5"/>
        <v/>
      </c>
      <c r="AF21" s="20" t="str">
        <f t="shared" ca="1" si="5"/>
        <v/>
      </c>
      <c r="AG21" s="20" t="str">
        <f t="shared" ca="1" si="5"/>
        <v/>
      </c>
      <c r="AH21" s="20" t="str">
        <f t="shared" ca="1" si="6"/>
        <v/>
      </c>
      <c r="AI21" s="20" t="str">
        <f t="shared" ca="1" si="6"/>
        <v/>
      </c>
      <c r="AJ21" s="20" t="str">
        <f t="shared" ca="1" si="6"/>
        <v/>
      </c>
      <c r="AK21" s="20" t="str">
        <f t="shared" ca="1" si="6"/>
        <v/>
      </c>
      <c r="AL21" s="20" t="str">
        <f t="shared" ca="1" si="6"/>
        <v/>
      </c>
      <c r="AM21" s="20" t="str">
        <f t="shared" ca="1" si="6"/>
        <v/>
      </c>
      <c r="AN21" s="20" t="str">
        <f t="shared" ca="1" si="6"/>
        <v/>
      </c>
      <c r="AO21" s="20" t="str">
        <f t="shared" ca="1" si="6"/>
        <v/>
      </c>
      <c r="AP21" s="20" t="str">
        <f t="shared" ca="1" si="6"/>
        <v/>
      </c>
      <c r="AQ21" s="20" t="str">
        <f t="shared" ca="1" si="6"/>
        <v/>
      </c>
      <c r="AR21" s="20" t="str">
        <f t="shared" ca="1" si="7"/>
        <v/>
      </c>
      <c r="AS21" s="20" t="str">
        <f t="shared" ca="1" si="7"/>
        <v/>
      </c>
      <c r="AT21" s="20" t="str">
        <f t="shared" ca="1" si="7"/>
        <v/>
      </c>
      <c r="AU21" s="20" t="str">
        <f t="shared" ca="1" si="7"/>
        <v/>
      </c>
      <c r="AV21" s="20" t="str">
        <f t="shared" ca="1" si="7"/>
        <v/>
      </c>
      <c r="AW21" s="20" t="str">
        <f t="shared" ca="1" si="7"/>
        <v/>
      </c>
      <c r="AX21" s="21" t="s">
        <v>86</v>
      </c>
    </row>
    <row r="22" spans="1:50" x14ac:dyDescent="0.2">
      <c r="A22" s="15" t="s">
        <v>87</v>
      </c>
      <c r="B22" s="15" t="s">
        <v>64</v>
      </c>
      <c r="C22" s="15" t="s">
        <v>88</v>
      </c>
      <c r="D22" s="22" t="s">
        <v>44</v>
      </c>
      <c r="E22" s="15">
        <v>6</v>
      </c>
      <c r="F22" s="15">
        <v>2</v>
      </c>
      <c r="G22" s="15" t="s">
        <v>84</v>
      </c>
      <c r="H22" s="17">
        <v>46311</v>
      </c>
      <c r="I22" s="17">
        <f>WORKDAY(H22,E22-1,Holidays!$A$2:$A$40)</f>
        <v>46318</v>
      </c>
      <c r="J22" s="18"/>
      <c r="K22" s="18"/>
      <c r="L22" s="19" t="s">
        <v>68</v>
      </c>
      <c r="M22" s="15" t="str">
        <f>IF(OR(K22="",I22=""),"",IF(K22&gt;=I22,NETWORKDAYS(I22,K22,Holidays!$A$2:$A$40)-1,-(NETWORKDAYS(K22,I22,Holidays!$A$2:$A$40)-1)))</f>
        <v/>
      </c>
      <c r="N22" s="20" t="str">
        <f t="shared" ca="1" si="4"/>
        <v/>
      </c>
      <c r="O22" s="20" t="str">
        <f t="shared" ca="1" si="4"/>
        <v/>
      </c>
      <c r="P22" s="20" t="str">
        <f t="shared" ca="1" si="4"/>
        <v/>
      </c>
      <c r="Q22" s="20" t="str">
        <f t="shared" ca="1" si="4"/>
        <v/>
      </c>
      <c r="R22" s="20" t="str">
        <f t="shared" ca="1" si="4"/>
        <v/>
      </c>
      <c r="S22" s="20" t="str">
        <f t="shared" ca="1" si="4"/>
        <v/>
      </c>
      <c r="T22" s="20" t="str">
        <f t="shared" ca="1" si="4"/>
        <v/>
      </c>
      <c r="U22" s="20" t="str">
        <f t="shared" ca="1" si="4"/>
        <v/>
      </c>
      <c r="V22" s="20" t="str">
        <f t="shared" ca="1" si="4"/>
        <v/>
      </c>
      <c r="W22" s="20" t="str">
        <f t="shared" ca="1" si="4"/>
        <v/>
      </c>
      <c r="X22" s="20" t="str">
        <f t="shared" ca="1" si="5"/>
        <v/>
      </c>
      <c r="Y22" s="20" t="str">
        <f t="shared" ca="1" si="5"/>
        <v/>
      </c>
      <c r="Z22" s="20" t="str">
        <f t="shared" ca="1" si="5"/>
        <v/>
      </c>
      <c r="AA22" s="20" t="str">
        <f t="shared" ca="1" si="5"/>
        <v/>
      </c>
      <c r="AB22" s="20" t="str">
        <f t="shared" ca="1" si="5"/>
        <v/>
      </c>
      <c r="AC22" s="20" t="str">
        <f t="shared" ca="1" si="5"/>
        <v/>
      </c>
      <c r="AD22" s="20" t="str">
        <f t="shared" ca="1" si="5"/>
        <v/>
      </c>
      <c r="AE22" s="20" t="str">
        <f t="shared" ca="1" si="5"/>
        <v/>
      </c>
      <c r="AF22" s="20" t="str">
        <f t="shared" ca="1" si="5"/>
        <v/>
      </c>
      <c r="AG22" s="20" t="str">
        <f t="shared" ca="1" si="5"/>
        <v/>
      </c>
      <c r="AH22" s="20" t="str">
        <f t="shared" ca="1" si="6"/>
        <v/>
      </c>
      <c r="AI22" s="20" t="str">
        <f t="shared" ca="1" si="6"/>
        <v/>
      </c>
      <c r="AJ22" s="20" t="str">
        <f t="shared" ca="1" si="6"/>
        <v/>
      </c>
      <c r="AK22" s="20" t="str">
        <f t="shared" ca="1" si="6"/>
        <v/>
      </c>
      <c r="AL22" s="20" t="str">
        <f t="shared" ca="1" si="6"/>
        <v/>
      </c>
      <c r="AM22" s="20" t="str">
        <f t="shared" ca="1" si="6"/>
        <v/>
      </c>
      <c r="AN22" s="20" t="str">
        <f t="shared" ca="1" si="6"/>
        <v/>
      </c>
      <c r="AO22" s="20" t="str">
        <f t="shared" ca="1" si="6"/>
        <v/>
      </c>
      <c r="AP22" s="20" t="str">
        <f t="shared" ca="1" si="6"/>
        <v/>
      </c>
      <c r="AQ22" s="20" t="str">
        <f t="shared" ca="1" si="6"/>
        <v/>
      </c>
      <c r="AR22" s="20" t="str">
        <f t="shared" ca="1" si="7"/>
        <v/>
      </c>
      <c r="AS22" s="20" t="str">
        <f t="shared" ca="1" si="7"/>
        <v/>
      </c>
      <c r="AT22" s="20" t="str">
        <f t="shared" ca="1" si="7"/>
        <v/>
      </c>
      <c r="AU22" s="20" t="str">
        <f t="shared" ca="1" si="7"/>
        <v/>
      </c>
      <c r="AV22" s="20" t="str">
        <f t="shared" ca="1" si="7"/>
        <v/>
      </c>
      <c r="AW22" s="20" t="str">
        <f t="shared" ca="1" si="7"/>
        <v/>
      </c>
      <c r="AX22" s="21" t="s">
        <v>89</v>
      </c>
    </row>
    <row r="23" spans="1:50" x14ac:dyDescent="0.2">
      <c r="A23" s="15" t="s">
        <v>90</v>
      </c>
      <c r="B23" s="15" t="s">
        <v>64</v>
      </c>
      <c r="C23" s="15" t="s">
        <v>91</v>
      </c>
      <c r="D23" s="22" t="s">
        <v>44</v>
      </c>
      <c r="E23" s="15">
        <v>1</v>
      </c>
      <c r="F23" s="15">
        <v>1</v>
      </c>
      <c r="G23" s="15" t="s">
        <v>84</v>
      </c>
      <c r="H23" s="17">
        <v>46315</v>
      </c>
      <c r="I23" s="17">
        <f>WORKDAY(H23,E23-1,Holidays!$A$2:$A$40)</f>
        <v>46315</v>
      </c>
      <c r="J23" s="18"/>
      <c r="K23" s="18"/>
      <c r="L23" s="19" t="s">
        <v>68</v>
      </c>
      <c r="M23" s="15" t="str">
        <f>IF(OR(K23="",I23=""),"",IF(K23&gt;=I23,NETWORKDAYS(I23,K23,Holidays!$A$2:$A$40)-1,-(NETWORKDAYS(K23,I23,Holidays!$A$2:$A$40)-1)))</f>
        <v/>
      </c>
      <c r="N23" s="20" t="str">
        <f t="shared" ca="1" si="4"/>
        <v/>
      </c>
      <c r="O23" s="20" t="str">
        <f t="shared" ca="1" si="4"/>
        <v/>
      </c>
      <c r="P23" s="20" t="str">
        <f t="shared" ca="1" si="4"/>
        <v/>
      </c>
      <c r="Q23" s="20" t="str">
        <f t="shared" ca="1" si="4"/>
        <v/>
      </c>
      <c r="R23" s="20" t="str">
        <f t="shared" ca="1" si="4"/>
        <v/>
      </c>
      <c r="S23" s="20" t="str">
        <f t="shared" ca="1" si="4"/>
        <v/>
      </c>
      <c r="T23" s="20" t="str">
        <f t="shared" ca="1" si="4"/>
        <v/>
      </c>
      <c r="U23" s="20" t="str">
        <f t="shared" ca="1" si="4"/>
        <v/>
      </c>
      <c r="V23" s="20" t="str">
        <f t="shared" ca="1" si="4"/>
        <v/>
      </c>
      <c r="W23" s="20" t="str">
        <f t="shared" ca="1" si="4"/>
        <v/>
      </c>
      <c r="X23" s="20" t="str">
        <f t="shared" ca="1" si="5"/>
        <v/>
      </c>
      <c r="Y23" s="20" t="str">
        <f t="shared" ca="1" si="5"/>
        <v/>
      </c>
      <c r="Z23" s="20" t="str">
        <f t="shared" ca="1" si="5"/>
        <v/>
      </c>
      <c r="AA23" s="20" t="str">
        <f t="shared" ca="1" si="5"/>
        <v/>
      </c>
      <c r="AB23" s="20" t="str">
        <f t="shared" ca="1" si="5"/>
        <v/>
      </c>
      <c r="AC23" s="20" t="str">
        <f t="shared" ca="1" si="5"/>
        <v/>
      </c>
      <c r="AD23" s="20" t="str">
        <f t="shared" ca="1" si="5"/>
        <v/>
      </c>
      <c r="AE23" s="20" t="str">
        <f t="shared" ca="1" si="5"/>
        <v/>
      </c>
      <c r="AF23" s="20" t="str">
        <f t="shared" ca="1" si="5"/>
        <v/>
      </c>
      <c r="AG23" s="20" t="str">
        <f t="shared" ca="1" si="5"/>
        <v/>
      </c>
      <c r="AH23" s="20" t="str">
        <f t="shared" ca="1" si="6"/>
        <v/>
      </c>
      <c r="AI23" s="20" t="str">
        <f t="shared" ca="1" si="6"/>
        <v/>
      </c>
      <c r="AJ23" s="20" t="str">
        <f t="shared" ca="1" si="6"/>
        <v/>
      </c>
      <c r="AK23" s="20" t="str">
        <f t="shared" ca="1" si="6"/>
        <v/>
      </c>
      <c r="AL23" s="20" t="str">
        <f t="shared" ca="1" si="6"/>
        <v/>
      </c>
      <c r="AM23" s="20" t="str">
        <f t="shared" ca="1" si="6"/>
        <v/>
      </c>
      <c r="AN23" s="20" t="str">
        <f t="shared" ca="1" si="6"/>
        <v/>
      </c>
      <c r="AO23" s="20" t="str">
        <f t="shared" ca="1" si="6"/>
        <v/>
      </c>
      <c r="AP23" s="20" t="str">
        <f t="shared" ca="1" si="6"/>
        <v/>
      </c>
      <c r="AQ23" s="20" t="str">
        <f t="shared" ca="1" si="6"/>
        <v/>
      </c>
      <c r="AR23" s="20" t="str">
        <f t="shared" ca="1" si="7"/>
        <v/>
      </c>
      <c r="AS23" s="20" t="str">
        <f t="shared" ca="1" si="7"/>
        <v/>
      </c>
      <c r="AT23" s="20" t="str">
        <f t="shared" ca="1" si="7"/>
        <v/>
      </c>
      <c r="AU23" s="20" t="str">
        <f t="shared" ca="1" si="7"/>
        <v/>
      </c>
      <c r="AV23" s="20" t="str">
        <f t="shared" ca="1" si="7"/>
        <v/>
      </c>
      <c r="AW23" s="20" t="str">
        <f t="shared" ca="1" si="7"/>
        <v/>
      </c>
      <c r="AX23" s="21" t="s">
        <v>92</v>
      </c>
    </row>
    <row r="24" spans="1:50" x14ac:dyDescent="0.2">
      <c r="A24" s="15" t="s">
        <v>93</v>
      </c>
      <c r="B24" s="15" t="s">
        <v>64</v>
      </c>
      <c r="C24" s="15" t="s">
        <v>94</v>
      </c>
      <c r="D24" s="22" t="s">
        <v>44</v>
      </c>
      <c r="E24" s="15">
        <v>1</v>
      </c>
      <c r="F24" s="15">
        <v>1</v>
      </c>
      <c r="G24" s="15" t="s">
        <v>95</v>
      </c>
      <c r="H24" s="17">
        <v>46322</v>
      </c>
      <c r="I24" s="17">
        <f>WORKDAY(H24,E24-1,Holidays!$A$2:$A$40)</f>
        <v>46322</v>
      </c>
      <c r="J24" s="18"/>
      <c r="K24" s="18"/>
      <c r="L24" s="19" t="s">
        <v>68</v>
      </c>
      <c r="M24" s="15" t="str">
        <f>IF(OR(K24="",I24=""),"",IF(K24&gt;=I24,NETWORKDAYS(I24,K24,Holidays!$A$2:$A$40)-1,-(NETWORKDAYS(K24,I24,Holidays!$A$2:$A$40)-1)))</f>
        <v/>
      </c>
      <c r="N24" s="20" t="str">
        <f t="shared" ca="1" si="4"/>
        <v/>
      </c>
      <c r="O24" s="20" t="str">
        <f t="shared" ca="1" si="4"/>
        <v/>
      </c>
      <c r="P24" s="20" t="str">
        <f t="shared" ca="1" si="4"/>
        <v/>
      </c>
      <c r="Q24" s="20" t="str">
        <f t="shared" ca="1" si="4"/>
        <v/>
      </c>
      <c r="R24" s="20" t="str">
        <f t="shared" ca="1" si="4"/>
        <v/>
      </c>
      <c r="S24" s="20" t="str">
        <f t="shared" ca="1" si="4"/>
        <v/>
      </c>
      <c r="T24" s="20" t="str">
        <f t="shared" ca="1" si="4"/>
        <v/>
      </c>
      <c r="U24" s="20" t="str">
        <f t="shared" ca="1" si="4"/>
        <v/>
      </c>
      <c r="V24" s="20" t="str">
        <f t="shared" ca="1" si="4"/>
        <v/>
      </c>
      <c r="W24" s="20" t="str">
        <f t="shared" ca="1" si="4"/>
        <v/>
      </c>
      <c r="X24" s="20" t="str">
        <f t="shared" ca="1" si="5"/>
        <v/>
      </c>
      <c r="Y24" s="20" t="str">
        <f t="shared" ca="1" si="5"/>
        <v/>
      </c>
      <c r="Z24" s="20" t="str">
        <f t="shared" ca="1" si="5"/>
        <v/>
      </c>
      <c r="AA24" s="20" t="str">
        <f t="shared" ca="1" si="5"/>
        <v/>
      </c>
      <c r="AB24" s="20" t="str">
        <f t="shared" ca="1" si="5"/>
        <v/>
      </c>
      <c r="AC24" s="20" t="str">
        <f t="shared" ca="1" si="5"/>
        <v/>
      </c>
      <c r="AD24" s="20" t="str">
        <f t="shared" ca="1" si="5"/>
        <v/>
      </c>
      <c r="AE24" s="20" t="str">
        <f t="shared" ca="1" si="5"/>
        <v/>
      </c>
      <c r="AF24" s="20" t="str">
        <f t="shared" ca="1" si="5"/>
        <v/>
      </c>
      <c r="AG24" s="20" t="str">
        <f t="shared" ca="1" si="5"/>
        <v/>
      </c>
      <c r="AH24" s="20" t="str">
        <f t="shared" ca="1" si="6"/>
        <v/>
      </c>
      <c r="AI24" s="20" t="str">
        <f t="shared" ca="1" si="6"/>
        <v/>
      </c>
      <c r="AJ24" s="20" t="str">
        <f t="shared" ca="1" si="6"/>
        <v/>
      </c>
      <c r="AK24" s="20" t="str">
        <f t="shared" ca="1" si="6"/>
        <v/>
      </c>
      <c r="AL24" s="20" t="str">
        <f t="shared" ca="1" si="6"/>
        <v/>
      </c>
      <c r="AM24" s="20" t="str">
        <f t="shared" ca="1" si="6"/>
        <v/>
      </c>
      <c r="AN24" s="20" t="str">
        <f t="shared" ca="1" si="6"/>
        <v/>
      </c>
      <c r="AO24" s="20" t="str">
        <f t="shared" ca="1" si="6"/>
        <v/>
      </c>
      <c r="AP24" s="20" t="str">
        <f t="shared" ca="1" si="6"/>
        <v/>
      </c>
      <c r="AQ24" s="20" t="str">
        <f t="shared" ca="1" si="6"/>
        <v/>
      </c>
      <c r="AR24" s="20" t="str">
        <f t="shared" ca="1" si="7"/>
        <v/>
      </c>
      <c r="AS24" s="20" t="str">
        <f t="shared" ca="1" si="7"/>
        <v/>
      </c>
      <c r="AT24" s="20" t="str">
        <f t="shared" ca="1" si="7"/>
        <v/>
      </c>
      <c r="AU24" s="20" t="str">
        <f t="shared" ca="1" si="7"/>
        <v/>
      </c>
      <c r="AV24" s="20" t="str">
        <f t="shared" ca="1" si="7"/>
        <v/>
      </c>
      <c r="AW24" s="20" t="str">
        <f t="shared" ca="1" si="7"/>
        <v/>
      </c>
      <c r="AX24" s="21" t="s">
        <v>96</v>
      </c>
    </row>
    <row r="25" spans="1:50" x14ac:dyDescent="0.2">
      <c r="A25" s="30" t="s">
        <v>97</v>
      </c>
      <c r="B25" s="31" t="s">
        <v>97</v>
      </c>
      <c r="C25" s="31" t="s">
        <v>98</v>
      </c>
      <c r="D25" s="31"/>
      <c r="E25" s="31">
        <f>NETWORKDAYS(H25,I25,Holidays!$A$2:$A$40)</f>
        <v>5</v>
      </c>
      <c r="F25" s="31"/>
      <c r="G25" s="31"/>
      <c r="H25" s="32">
        <f>MIN(H26:H33)</f>
        <v>46308</v>
      </c>
      <c r="I25" s="32">
        <f>MAX(I26:I33)</f>
        <v>46314</v>
      </c>
      <c r="J25" s="31"/>
      <c r="K25" s="31"/>
      <c r="L25" s="31"/>
      <c r="M25" s="3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1:50" x14ac:dyDescent="0.2">
      <c r="A26" s="15" t="s">
        <v>99</v>
      </c>
      <c r="B26" s="15" t="s">
        <v>97</v>
      </c>
      <c r="C26" s="15" t="s">
        <v>100</v>
      </c>
      <c r="D26" s="16" t="s">
        <v>39</v>
      </c>
      <c r="E26" s="15">
        <v>1</v>
      </c>
      <c r="F26" s="15">
        <v>1</v>
      </c>
      <c r="G26" s="15" t="s">
        <v>73</v>
      </c>
      <c r="H26" s="17">
        <v>46308</v>
      </c>
      <c r="I26" s="17">
        <f>WORKDAY(H26,E26-1,Holidays!$A$2:$A$40)</f>
        <v>46308</v>
      </c>
      <c r="J26" s="18"/>
      <c r="K26" s="18"/>
      <c r="L26" s="19" t="s">
        <v>68</v>
      </c>
      <c r="M26" s="15" t="str">
        <f>IF(OR(K26="",I26=""),"",IF(K26&gt;=I26,NETWORKDAYS(I26,K26,Holidays!$A$2:$A$40)-1,-(NETWORKDAYS(K26,I26,Holidays!$A$2:$A$40)-1)))</f>
        <v/>
      </c>
      <c r="N26" s="20" t="str">
        <f t="shared" ref="N26:W33" ca="1" si="8">IF(AND($J26&lt;&gt;"",N$4&gt;=$J26,N$4&lt;=IF($K26="",TODAY(),$K26),N$65=0),"●","")</f>
        <v/>
      </c>
      <c r="O26" s="20" t="str">
        <f t="shared" ca="1" si="8"/>
        <v/>
      </c>
      <c r="P26" s="20" t="str">
        <f t="shared" ca="1" si="8"/>
        <v/>
      </c>
      <c r="Q26" s="20" t="str">
        <f t="shared" ca="1" si="8"/>
        <v/>
      </c>
      <c r="R26" s="20" t="str">
        <f t="shared" ca="1" si="8"/>
        <v/>
      </c>
      <c r="S26" s="20" t="str">
        <f t="shared" ca="1" si="8"/>
        <v/>
      </c>
      <c r="T26" s="20" t="str">
        <f t="shared" ca="1" si="8"/>
        <v/>
      </c>
      <c r="U26" s="20" t="str">
        <f t="shared" ca="1" si="8"/>
        <v/>
      </c>
      <c r="V26" s="20" t="str">
        <f t="shared" ca="1" si="8"/>
        <v/>
      </c>
      <c r="W26" s="20" t="str">
        <f t="shared" ca="1" si="8"/>
        <v/>
      </c>
      <c r="X26" s="20" t="str">
        <f t="shared" ref="X26:AG33" ca="1" si="9">IF(AND($J26&lt;&gt;"",X$4&gt;=$J26,X$4&lt;=IF($K26="",TODAY(),$K26),X$65=0),"●","")</f>
        <v/>
      </c>
      <c r="Y26" s="20" t="str">
        <f t="shared" ca="1" si="9"/>
        <v/>
      </c>
      <c r="Z26" s="20" t="str">
        <f t="shared" ca="1" si="9"/>
        <v/>
      </c>
      <c r="AA26" s="20" t="str">
        <f t="shared" ca="1" si="9"/>
        <v/>
      </c>
      <c r="AB26" s="20" t="str">
        <f t="shared" ca="1" si="9"/>
        <v/>
      </c>
      <c r="AC26" s="20" t="str">
        <f t="shared" ca="1" si="9"/>
        <v/>
      </c>
      <c r="AD26" s="20" t="str">
        <f t="shared" ca="1" si="9"/>
        <v/>
      </c>
      <c r="AE26" s="20" t="str">
        <f t="shared" ca="1" si="9"/>
        <v/>
      </c>
      <c r="AF26" s="20" t="str">
        <f t="shared" ca="1" si="9"/>
        <v/>
      </c>
      <c r="AG26" s="20" t="str">
        <f t="shared" ca="1" si="9"/>
        <v/>
      </c>
      <c r="AH26" s="20" t="str">
        <f t="shared" ref="AH26:AQ33" ca="1" si="10">IF(AND($J26&lt;&gt;"",AH$4&gt;=$J26,AH$4&lt;=IF($K26="",TODAY(),$K26),AH$65=0),"●","")</f>
        <v/>
      </c>
      <c r="AI26" s="20" t="str">
        <f t="shared" ca="1" si="10"/>
        <v/>
      </c>
      <c r="AJ26" s="20" t="str">
        <f t="shared" ca="1" si="10"/>
        <v/>
      </c>
      <c r="AK26" s="20" t="str">
        <f t="shared" ca="1" si="10"/>
        <v/>
      </c>
      <c r="AL26" s="20" t="str">
        <f t="shared" ca="1" si="10"/>
        <v/>
      </c>
      <c r="AM26" s="20" t="str">
        <f t="shared" ca="1" si="10"/>
        <v/>
      </c>
      <c r="AN26" s="20" t="str">
        <f t="shared" ca="1" si="10"/>
        <v/>
      </c>
      <c r="AO26" s="20" t="str">
        <f t="shared" ca="1" si="10"/>
        <v/>
      </c>
      <c r="AP26" s="20" t="str">
        <f t="shared" ca="1" si="10"/>
        <v/>
      </c>
      <c r="AQ26" s="20" t="str">
        <f t="shared" ca="1" si="10"/>
        <v/>
      </c>
      <c r="AR26" s="20" t="str">
        <f t="shared" ref="AR26:AW33" ca="1" si="11">IF(AND($J26&lt;&gt;"",AR$4&gt;=$J26,AR$4&lt;=IF($K26="",TODAY(),$K26),AR$65=0),"●","")</f>
        <v/>
      </c>
      <c r="AS26" s="20" t="str">
        <f t="shared" ca="1" si="11"/>
        <v/>
      </c>
      <c r="AT26" s="20" t="str">
        <f t="shared" ca="1" si="11"/>
        <v/>
      </c>
      <c r="AU26" s="20" t="str">
        <f t="shared" ca="1" si="11"/>
        <v/>
      </c>
      <c r="AV26" s="20" t="str">
        <f t="shared" ca="1" si="11"/>
        <v/>
      </c>
      <c r="AW26" s="20" t="str">
        <f t="shared" ca="1" si="11"/>
        <v/>
      </c>
      <c r="AX26" s="21" t="s">
        <v>101</v>
      </c>
    </row>
    <row r="27" spans="1:50" x14ac:dyDescent="0.2">
      <c r="A27" s="15" t="s">
        <v>102</v>
      </c>
      <c r="B27" s="15" t="s">
        <v>97</v>
      </c>
      <c r="C27" s="15" t="s">
        <v>103</v>
      </c>
      <c r="D27" s="29" t="s">
        <v>82</v>
      </c>
      <c r="E27" s="15">
        <v>1</v>
      </c>
      <c r="F27" s="15">
        <v>1</v>
      </c>
      <c r="G27" s="15" t="s">
        <v>80</v>
      </c>
      <c r="H27" s="17">
        <v>46308</v>
      </c>
      <c r="I27" s="17">
        <f>WORKDAY(H27,E27-1,Holidays!$A$2:$A$40)</f>
        <v>46308</v>
      </c>
      <c r="J27" s="18"/>
      <c r="K27" s="18"/>
      <c r="L27" s="19" t="s">
        <v>68</v>
      </c>
      <c r="M27" s="15" t="str">
        <f>IF(OR(K27="",I27=""),"",IF(K27&gt;=I27,NETWORKDAYS(I27,K27,Holidays!$A$2:$A$40)-1,-(NETWORKDAYS(K27,I27,Holidays!$A$2:$A$40)-1)))</f>
        <v/>
      </c>
      <c r="N27" s="20" t="str">
        <f t="shared" ca="1" si="8"/>
        <v/>
      </c>
      <c r="O27" s="20" t="str">
        <f t="shared" ca="1" si="8"/>
        <v/>
      </c>
      <c r="P27" s="20" t="str">
        <f t="shared" ca="1" si="8"/>
        <v/>
      </c>
      <c r="Q27" s="20" t="str">
        <f t="shared" ca="1" si="8"/>
        <v/>
      </c>
      <c r="R27" s="20" t="str">
        <f t="shared" ca="1" si="8"/>
        <v/>
      </c>
      <c r="S27" s="20" t="str">
        <f t="shared" ca="1" si="8"/>
        <v/>
      </c>
      <c r="T27" s="20" t="str">
        <f t="shared" ca="1" si="8"/>
        <v/>
      </c>
      <c r="U27" s="20" t="str">
        <f t="shared" ca="1" si="8"/>
        <v/>
      </c>
      <c r="V27" s="20" t="str">
        <f t="shared" ca="1" si="8"/>
        <v/>
      </c>
      <c r="W27" s="20" t="str">
        <f t="shared" ca="1" si="8"/>
        <v/>
      </c>
      <c r="X27" s="20" t="str">
        <f t="shared" ca="1" si="9"/>
        <v/>
      </c>
      <c r="Y27" s="20" t="str">
        <f t="shared" ca="1" si="9"/>
        <v/>
      </c>
      <c r="Z27" s="20" t="str">
        <f t="shared" ca="1" si="9"/>
        <v/>
      </c>
      <c r="AA27" s="20" t="str">
        <f t="shared" ca="1" si="9"/>
        <v/>
      </c>
      <c r="AB27" s="20" t="str">
        <f t="shared" ca="1" si="9"/>
        <v/>
      </c>
      <c r="AC27" s="20" t="str">
        <f t="shared" ca="1" si="9"/>
        <v/>
      </c>
      <c r="AD27" s="20" t="str">
        <f t="shared" ca="1" si="9"/>
        <v/>
      </c>
      <c r="AE27" s="20" t="str">
        <f t="shared" ca="1" si="9"/>
        <v/>
      </c>
      <c r="AF27" s="20" t="str">
        <f t="shared" ca="1" si="9"/>
        <v/>
      </c>
      <c r="AG27" s="20" t="str">
        <f t="shared" ca="1" si="9"/>
        <v/>
      </c>
      <c r="AH27" s="20" t="str">
        <f t="shared" ca="1" si="10"/>
        <v/>
      </c>
      <c r="AI27" s="20" t="str">
        <f t="shared" ca="1" si="10"/>
        <v/>
      </c>
      <c r="AJ27" s="20" t="str">
        <f t="shared" ca="1" si="10"/>
        <v/>
      </c>
      <c r="AK27" s="20" t="str">
        <f t="shared" ca="1" si="10"/>
        <v/>
      </c>
      <c r="AL27" s="20" t="str">
        <f t="shared" ca="1" si="10"/>
        <v/>
      </c>
      <c r="AM27" s="20" t="str">
        <f t="shared" ca="1" si="10"/>
        <v/>
      </c>
      <c r="AN27" s="20" t="str">
        <f t="shared" ca="1" si="10"/>
        <v/>
      </c>
      <c r="AO27" s="20" t="str">
        <f t="shared" ca="1" si="10"/>
        <v/>
      </c>
      <c r="AP27" s="20" t="str">
        <f t="shared" ca="1" si="10"/>
        <v/>
      </c>
      <c r="AQ27" s="20" t="str">
        <f t="shared" ca="1" si="10"/>
        <v/>
      </c>
      <c r="AR27" s="20" t="str">
        <f t="shared" ca="1" si="11"/>
        <v/>
      </c>
      <c r="AS27" s="20" t="str">
        <f t="shared" ca="1" si="11"/>
        <v/>
      </c>
      <c r="AT27" s="20" t="str">
        <f t="shared" ca="1" si="11"/>
        <v/>
      </c>
      <c r="AU27" s="20" t="str">
        <f t="shared" ca="1" si="11"/>
        <v/>
      </c>
      <c r="AV27" s="20" t="str">
        <f t="shared" ca="1" si="11"/>
        <v/>
      </c>
      <c r="AW27" s="20" t="str">
        <f t="shared" ca="1" si="11"/>
        <v/>
      </c>
      <c r="AX27" s="21" t="s">
        <v>104</v>
      </c>
    </row>
    <row r="28" spans="1:50" x14ac:dyDescent="0.2">
      <c r="A28" s="15" t="s">
        <v>105</v>
      </c>
      <c r="B28" s="15" t="s">
        <v>97</v>
      </c>
      <c r="C28" s="15" t="s">
        <v>106</v>
      </c>
      <c r="D28" s="29" t="s">
        <v>82</v>
      </c>
      <c r="E28" s="15">
        <v>2</v>
      </c>
      <c r="F28" s="15">
        <v>2</v>
      </c>
      <c r="G28" s="15" t="s">
        <v>107</v>
      </c>
      <c r="H28" s="17">
        <v>46310</v>
      </c>
      <c r="I28" s="17">
        <f>WORKDAY(H28,E28-1,Holidays!$A$2:$A$40)</f>
        <v>46311</v>
      </c>
      <c r="J28" s="18"/>
      <c r="K28" s="18"/>
      <c r="L28" s="19" t="s">
        <v>68</v>
      </c>
      <c r="M28" s="15" t="str">
        <f>IF(OR(K28="",I28=""),"",IF(K28&gt;=I28,NETWORKDAYS(I28,K28,Holidays!$A$2:$A$40)-1,-(NETWORKDAYS(K28,I28,Holidays!$A$2:$A$40)-1)))</f>
        <v/>
      </c>
      <c r="N28" s="20" t="str">
        <f t="shared" ca="1" si="8"/>
        <v/>
      </c>
      <c r="O28" s="20" t="str">
        <f t="shared" ca="1" si="8"/>
        <v/>
      </c>
      <c r="P28" s="20" t="str">
        <f t="shared" ca="1" si="8"/>
        <v/>
      </c>
      <c r="Q28" s="20" t="str">
        <f t="shared" ca="1" si="8"/>
        <v/>
      </c>
      <c r="R28" s="20" t="str">
        <f t="shared" ca="1" si="8"/>
        <v/>
      </c>
      <c r="S28" s="20" t="str">
        <f t="shared" ca="1" si="8"/>
        <v/>
      </c>
      <c r="T28" s="20" t="str">
        <f t="shared" ca="1" si="8"/>
        <v/>
      </c>
      <c r="U28" s="20" t="str">
        <f t="shared" ca="1" si="8"/>
        <v/>
      </c>
      <c r="V28" s="20" t="str">
        <f t="shared" ca="1" si="8"/>
        <v/>
      </c>
      <c r="W28" s="20" t="str">
        <f t="shared" ca="1" si="8"/>
        <v/>
      </c>
      <c r="X28" s="20" t="str">
        <f t="shared" ca="1" si="9"/>
        <v/>
      </c>
      <c r="Y28" s="20" t="str">
        <f t="shared" ca="1" si="9"/>
        <v/>
      </c>
      <c r="Z28" s="20" t="str">
        <f t="shared" ca="1" si="9"/>
        <v/>
      </c>
      <c r="AA28" s="20" t="str">
        <f t="shared" ca="1" si="9"/>
        <v/>
      </c>
      <c r="AB28" s="20" t="str">
        <f t="shared" ca="1" si="9"/>
        <v/>
      </c>
      <c r="AC28" s="20" t="str">
        <f t="shared" ca="1" si="9"/>
        <v/>
      </c>
      <c r="AD28" s="20" t="str">
        <f t="shared" ca="1" si="9"/>
        <v/>
      </c>
      <c r="AE28" s="20" t="str">
        <f t="shared" ca="1" si="9"/>
        <v/>
      </c>
      <c r="AF28" s="20" t="str">
        <f t="shared" ca="1" si="9"/>
        <v/>
      </c>
      <c r="AG28" s="20" t="str">
        <f t="shared" ca="1" si="9"/>
        <v/>
      </c>
      <c r="AH28" s="20" t="str">
        <f t="shared" ca="1" si="10"/>
        <v/>
      </c>
      <c r="AI28" s="20" t="str">
        <f t="shared" ca="1" si="10"/>
        <v/>
      </c>
      <c r="AJ28" s="20" t="str">
        <f t="shared" ca="1" si="10"/>
        <v/>
      </c>
      <c r="AK28" s="20" t="str">
        <f t="shared" ca="1" si="10"/>
        <v/>
      </c>
      <c r="AL28" s="20" t="str">
        <f t="shared" ca="1" si="10"/>
        <v/>
      </c>
      <c r="AM28" s="20" t="str">
        <f t="shared" ca="1" si="10"/>
        <v/>
      </c>
      <c r="AN28" s="20" t="str">
        <f t="shared" ca="1" si="10"/>
        <v/>
      </c>
      <c r="AO28" s="20" t="str">
        <f t="shared" ca="1" si="10"/>
        <v/>
      </c>
      <c r="AP28" s="20" t="str">
        <f t="shared" ca="1" si="10"/>
        <v/>
      </c>
      <c r="AQ28" s="20" t="str">
        <f t="shared" ca="1" si="10"/>
        <v/>
      </c>
      <c r="AR28" s="20" t="str">
        <f t="shared" ca="1" si="11"/>
        <v/>
      </c>
      <c r="AS28" s="20" t="str">
        <f t="shared" ca="1" si="11"/>
        <v/>
      </c>
      <c r="AT28" s="20" t="str">
        <f t="shared" ca="1" si="11"/>
        <v/>
      </c>
      <c r="AU28" s="20" t="str">
        <f t="shared" ca="1" si="11"/>
        <v/>
      </c>
      <c r="AV28" s="20" t="str">
        <f t="shared" ca="1" si="11"/>
        <v/>
      </c>
      <c r="AW28" s="20" t="str">
        <f t="shared" ca="1" si="11"/>
        <v/>
      </c>
      <c r="AX28" s="21" t="s">
        <v>108</v>
      </c>
    </row>
    <row r="29" spans="1:50" x14ac:dyDescent="0.2">
      <c r="A29" s="15" t="s">
        <v>109</v>
      </c>
      <c r="B29" s="15" t="s">
        <v>97</v>
      </c>
      <c r="C29" s="15" t="s">
        <v>110</v>
      </c>
      <c r="D29" s="24" t="s">
        <v>53</v>
      </c>
      <c r="E29" s="15">
        <v>3</v>
      </c>
      <c r="F29" s="15">
        <v>3</v>
      </c>
      <c r="G29" s="15" t="s">
        <v>70</v>
      </c>
      <c r="H29" s="17">
        <v>46308</v>
      </c>
      <c r="I29" s="17">
        <f>WORKDAY(H29,E29-1,Holidays!$A$2:$A$40)</f>
        <v>46310</v>
      </c>
      <c r="J29" s="18"/>
      <c r="K29" s="18"/>
      <c r="L29" s="19" t="s">
        <v>68</v>
      </c>
      <c r="M29" s="15" t="str">
        <f>IF(OR(K29="",I29=""),"",IF(K29&gt;=I29,NETWORKDAYS(I29,K29,Holidays!$A$2:$A$40)-1,-(NETWORKDAYS(K29,I29,Holidays!$A$2:$A$40)-1)))</f>
        <v/>
      </c>
      <c r="N29" s="20" t="str">
        <f t="shared" ca="1" si="8"/>
        <v/>
      </c>
      <c r="O29" s="20" t="str">
        <f t="shared" ca="1" si="8"/>
        <v/>
      </c>
      <c r="P29" s="20" t="str">
        <f t="shared" ca="1" si="8"/>
        <v/>
      </c>
      <c r="Q29" s="20" t="str">
        <f t="shared" ca="1" si="8"/>
        <v/>
      </c>
      <c r="R29" s="20" t="str">
        <f t="shared" ca="1" si="8"/>
        <v/>
      </c>
      <c r="S29" s="20" t="str">
        <f t="shared" ca="1" si="8"/>
        <v/>
      </c>
      <c r="T29" s="20" t="str">
        <f t="shared" ca="1" si="8"/>
        <v/>
      </c>
      <c r="U29" s="20" t="str">
        <f t="shared" ca="1" si="8"/>
        <v/>
      </c>
      <c r="V29" s="20" t="str">
        <f t="shared" ca="1" si="8"/>
        <v/>
      </c>
      <c r="W29" s="20" t="str">
        <f t="shared" ca="1" si="8"/>
        <v/>
      </c>
      <c r="X29" s="20" t="str">
        <f t="shared" ca="1" si="9"/>
        <v/>
      </c>
      <c r="Y29" s="20" t="str">
        <f t="shared" ca="1" si="9"/>
        <v/>
      </c>
      <c r="Z29" s="20" t="str">
        <f t="shared" ca="1" si="9"/>
        <v/>
      </c>
      <c r="AA29" s="20" t="str">
        <f t="shared" ca="1" si="9"/>
        <v/>
      </c>
      <c r="AB29" s="20" t="str">
        <f t="shared" ca="1" si="9"/>
        <v/>
      </c>
      <c r="AC29" s="20" t="str">
        <f t="shared" ca="1" si="9"/>
        <v/>
      </c>
      <c r="AD29" s="20" t="str">
        <f t="shared" ca="1" si="9"/>
        <v/>
      </c>
      <c r="AE29" s="20" t="str">
        <f t="shared" ca="1" si="9"/>
        <v/>
      </c>
      <c r="AF29" s="20" t="str">
        <f t="shared" ca="1" si="9"/>
        <v/>
      </c>
      <c r="AG29" s="20" t="str">
        <f t="shared" ca="1" si="9"/>
        <v/>
      </c>
      <c r="AH29" s="20" t="str">
        <f t="shared" ca="1" si="10"/>
        <v/>
      </c>
      <c r="AI29" s="20" t="str">
        <f t="shared" ca="1" si="10"/>
        <v/>
      </c>
      <c r="AJ29" s="20" t="str">
        <f t="shared" ca="1" si="10"/>
        <v/>
      </c>
      <c r="AK29" s="20" t="str">
        <f t="shared" ca="1" si="10"/>
        <v/>
      </c>
      <c r="AL29" s="20" t="str">
        <f t="shared" ca="1" si="10"/>
        <v/>
      </c>
      <c r="AM29" s="20" t="str">
        <f t="shared" ca="1" si="10"/>
        <v/>
      </c>
      <c r="AN29" s="20" t="str">
        <f t="shared" ca="1" si="10"/>
        <v/>
      </c>
      <c r="AO29" s="20" t="str">
        <f t="shared" ca="1" si="10"/>
        <v/>
      </c>
      <c r="AP29" s="20" t="str">
        <f t="shared" ca="1" si="10"/>
        <v/>
      </c>
      <c r="AQ29" s="20" t="str">
        <f t="shared" ca="1" si="10"/>
        <v/>
      </c>
      <c r="AR29" s="20" t="str">
        <f t="shared" ca="1" si="11"/>
        <v/>
      </c>
      <c r="AS29" s="20" t="str">
        <f t="shared" ca="1" si="11"/>
        <v/>
      </c>
      <c r="AT29" s="20" t="str">
        <f t="shared" ca="1" si="11"/>
        <v/>
      </c>
      <c r="AU29" s="20" t="str">
        <f t="shared" ca="1" si="11"/>
        <v/>
      </c>
      <c r="AV29" s="20" t="str">
        <f t="shared" ca="1" si="11"/>
        <v/>
      </c>
      <c r="AW29" s="20" t="str">
        <f t="shared" ca="1" si="11"/>
        <v/>
      </c>
      <c r="AX29" s="21" t="s">
        <v>111</v>
      </c>
    </row>
    <row r="30" spans="1:50" x14ac:dyDescent="0.2">
      <c r="A30" s="15" t="s">
        <v>112</v>
      </c>
      <c r="B30" s="15" t="s">
        <v>97</v>
      </c>
      <c r="C30" s="15" t="s">
        <v>113</v>
      </c>
      <c r="D30" s="29" t="s">
        <v>82</v>
      </c>
      <c r="E30" s="15">
        <v>1</v>
      </c>
      <c r="F30" s="15">
        <v>1</v>
      </c>
      <c r="G30" s="15" t="s">
        <v>102</v>
      </c>
      <c r="H30" s="17">
        <v>46309</v>
      </c>
      <c r="I30" s="17">
        <f>WORKDAY(H30,E30-1,Holidays!$A$2:$A$40)</f>
        <v>46309</v>
      </c>
      <c r="J30" s="18"/>
      <c r="K30" s="18"/>
      <c r="L30" s="19" t="s">
        <v>68</v>
      </c>
      <c r="M30" s="15" t="str">
        <f>IF(OR(K30="",I30=""),"",IF(K30&gt;=I30,NETWORKDAYS(I30,K30,Holidays!$A$2:$A$40)-1,-(NETWORKDAYS(K30,I30,Holidays!$A$2:$A$40)-1)))</f>
        <v/>
      </c>
      <c r="N30" s="20" t="str">
        <f t="shared" ca="1" si="8"/>
        <v/>
      </c>
      <c r="O30" s="20" t="str">
        <f t="shared" ca="1" si="8"/>
        <v/>
      </c>
      <c r="P30" s="20" t="str">
        <f t="shared" ca="1" si="8"/>
        <v/>
      </c>
      <c r="Q30" s="20" t="str">
        <f t="shared" ca="1" si="8"/>
        <v/>
      </c>
      <c r="R30" s="20" t="str">
        <f t="shared" ca="1" si="8"/>
        <v/>
      </c>
      <c r="S30" s="20" t="str">
        <f t="shared" ca="1" si="8"/>
        <v/>
      </c>
      <c r="T30" s="20" t="str">
        <f t="shared" ca="1" si="8"/>
        <v/>
      </c>
      <c r="U30" s="20" t="str">
        <f t="shared" ca="1" si="8"/>
        <v/>
      </c>
      <c r="V30" s="20" t="str">
        <f t="shared" ca="1" si="8"/>
        <v/>
      </c>
      <c r="W30" s="20" t="str">
        <f t="shared" ca="1" si="8"/>
        <v/>
      </c>
      <c r="X30" s="20" t="str">
        <f t="shared" ca="1" si="9"/>
        <v/>
      </c>
      <c r="Y30" s="20" t="str">
        <f t="shared" ca="1" si="9"/>
        <v/>
      </c>
      <c r="Z30" s="20" t="str">
        <f t="shared" ca="1" si="9"/>
        <v/>
      </c>
      <c r="AA30" s="20" t="str">
        <f t="shared" ca="1" si="9"/>
        <v/>
      </c>
      <c r="AB30" s="20" t="str">
        <f t="shared" ca="1" si="9"/>
        <v/>
      </c>
      <c r="AC30" s="20" t="str">
        <f t="shared" ca="1" si="9"/>
        <v/>
      </c>
      <c r="AD30" s="20" t="str">
        <f t="shared" ca="1" si="9"/>
        <v/>
      </c>
      <c r="AE30" s="20" t="str">
        <f t="shared" ca="1" si="9"/>
        <v/>
      </c>
      <c r="AF30" s="20" t="str">
        <f t="shared" ca="1" si="9"/>
        <v/>
      </c>
      <c r="AG30" s="20" t="str">
        <f t="shared" ca="1" si="9"/>
        <v/>
      </c>
      <c r="AH30" s="20" t="str">
        <f t="shared" ca="1" si="10"/>
        <v/>
      </c>
      <c r="AI30" s="20" t="str">
        <f t="shared" ca="1" si="10"/>
        <v/>
      </c>
      <c r="AJ30" s="20" t="str">
        <f t="shared" ca="1" si="10"/>
        <v/>
      </c>
      <c r="AK30" s="20" t="str">
        <f t="shared" ca="1" si="10"/>
        <v/>
      </c>
      <c r="AL30" s="20" t="str">
        <f t="shared" ca="1" si="10"/>
        <v/>
      </c>
      <c r="AM30" s="20" t="str">
        <f t="shared" ca="1" si="10"/>
        <v/>
      </c>
      <c r="AN30" s="20" t="str">
        <f t="shared" ca="1" si="10"/>
        <v/>
      </c>
      <c r="AO30" s="20" t="str">
        <f t="shared" ca="1" si="10"/>
        <v/>
      </c>
      <c r="AP30" s="20" t="str">
        <f t="shared" ca="1" si="10"/>
        <v/>
      </c>
      <c r="AQ30" s="20" t="str">
        <f t="shared" ca="1" si="10"/>
        <v/>
      </c>
      <c r="AR30" s="20" t="str">
        <f t="shared" ca="1" si="11"/>
        <v/>
      </c>
      <c r="AS30" s="20" t="str">
        <f t="shared" ca="1" si="11"/>
        <v/>
      </c>
      <c r="AT30" s="20" t="str">
        <f t="shared" ca="1" si="11"/>
        <v/>
      </c>
      <c r="AU30" s="20" t="str">
        <f t="shared" ca="1" si="11"/>
        <v/>
      </c>
      <c r="AV30" s="20" t="str">
        <f t="shared" ca="1" si="11"/>
        <v/>
      </c>
      <c r="AW30" s="20" t="str">
        <f t="shared" ca="1" si="11"/>
        <v/>
      </c>
      <c r="AX30" s="21" t="s">
        <v>114</v>
      </c>
    </row>
    <row r="31" spans="1:50" x14ac:dyDescent="0.2">
      <c r="A31" s="15" t="s">
        <v>115</v>
      </c>
      <c r="B31" s="15" t="s">
        <v>97</v>
      </c>
      <c r="C31" s="15" t="s">
        <v>116</v>
      </c>
      <c r="D31" s="28" t="s">
        <v>78</v>
      </c>
      <c r="E31" s="15">
        <v>1</v>
      </c>
      <c r="F31" s="15">
        <v>1</v>
      </c>
      <c r="G31" s="15" t="s">
        <v>76</v>
      </c>
      <c r="H31" s="17">
        <v>46308</v>
      </c>
      <c r="I31" s="17">
        <f>WORKDAY(H31,E31-1,Holidays!$A$2:$A$40)</f>
        <v>46308</v>
      </c>
      <c r="J31" s="18"/>
      <c r="K31" s="18"/>
      <c r="L31" s="19" t="s">
        <v>68</v>
      </c>
      <c r="M31" s="15" t="str">
        <f>IF(OR(K31="",I31=""),"",IF(K31&gt;=I31,NETWORKDAYS(I31,K31,Holidays!$A$2:$A$40)-1,-(NETWORKDAYS(K31,I31,Holidays!$A$2:$A$40)-1)))</f>
        <v/>
      </c>
      <c r="N31" s="20" t="str">
        <f t="shared" ca="1" si="8"/>
        <v/>
      </c>
      <c r="O31" s="20" t="str">
        <f t="shared" ca="1" si="8"/>
        <v/>
      </c>
      <c r="P31" s="20" t="str">
        <f t="shared" ca="1" si="8"/>
        <v/>
      </c>
      <c r="Q31" s="20" t="str">
        <f t="shared" ca="1" si="8"/>
        <v/>
      </c>
      <c r="R31" s="20" t="str">
        <f t="shared" ca="1" si="8"/>
        <v/>
      </c>
      <c r="S31" s="20" t="str">
        <f t="shared" ca="1" si="8"/>
        <v/>
      </c>
      <c r="T31" s="20" t="str">
        <f t="shared" ca="1" si="8"/>
        <v/>
      </c>
      <c r="U31" s="20" t="str">
        <f t="shared" ca="1" si="8"/>
        <v/>
      </c>
      <c r="V31" s="20" t="str">
        <f t="shared" ca="1" si="8"/>
        <v/>
      </c>
      <c r="W31" s="20" t="str">
        <f t="shared" ca="1" si="8"/>
        <v/>
      </c>
      <c r="X31" s="20" t="str">
        <f t="shared" ca="1" si="9"/>
        <v/>
      </c>
      <c r="Y31" s="20" t="str">
        <f t="shared" ca="1" si="9"/>
        <v/>
      </c>
      <c r="Z31" s="20" t="str">
        <f t="shared" ca="1" si="9"/>
        <v/>
      </c>
      <c r="AA31" s="20" t="str">
        <f t="shared" ca="1" si="9"/>
        <v/>
      </c>
      <c r="AB31" s="20" t="str">
        <f t="shared" ca="1" si="9"/>
        <v/>
      </c>
      <c r="AC31" s="20" t="str">
        <f t="shared" ca="1" si="9"/>
        <v/>
      </c>
      <c r="AD31" s="20" t="str">
        <f t="shared" ca="1" si="9"/>
        <v/>
      </c>
      <c r="AE31" s="20" t="str">
        <f t="shared" ca="1" si="9"/>
        <v/>
      </c>
      <c r="AF31" s="20" t="str">
        <f t="shared" ca="1" si="9"/>
        <v/>
      </c>
      <c r="AG31" s="20" t="str">
        <f t="shared" ca="1" si="9"/>
        <v/>
      </c>
      <c r="AH31" s="20" t="str">
        <f t="shared" ca="1" si="10"/>
        <v/>
      </c>
      <c r="AI31" s="20" t="str">
        <f t="shared" ca="1" si="10"/>
        <v/>
      </c>
      <c r="AJ31" s="20" t="str">
        <f t="shared" ca="1" si="10"/>
        <v/>
      </c>
      <c r="AK31" s="20" t="str">
        <f t="shared" ca="1" si="10"/>
        <v/>
      </c>
      <c r="AL31" s="20" t="str">
        <f t="shared" ca="1" si="10"/>
        <v/>
      </c>
      <c r="AM31" s="20" t="str">
        <f t="shared" ca="1" si="10"/>
        <v/>
      </c>
      <c r="AN31" s="20" t="str">
        <f t="shared" ca="1" si="10"/>
        <v/>
      </c>
      <c r="AO31" s="20" t="str">
        <f t="shared" ca="1" si="10"/>
        <v/>
      </c>
      <c r="AP31" s="20" t="str">
        <f t="shared" ca="1" si="10"/>
        <v/>
      </c>
      <c r="AQ31" s="20" t="str">
        <f t="shared" ca="1" si="10"/>
        <v/>
      </c>
      <c r="AR31" s="20" t="str">
        <f t="shared" ca="1" si="11"/>
        <v/>
      </c>
      <c r="AS31" s="20" t="str">
        <f t="shared" ca="1" si="11"/>
        <v/>
      </c>
      <c r="AT31" s="20" t="str">
        <f t="shared" ca="1" si="11"/>
        <v/>
      </c>
      <c r="AU31" s="20" t="str">
        <f t="shared" ca="1" si="11"/>
        <v/>
      </c>
      <c r="AV31" s="20" t="str">
        <f t="shared" ca="1" si="11"/>
        <v/>
      </c>
      <c r="AW31" s="20" t="str">
        <f t="shared" ca="1" si="11"/>
        <v/>
      </c>
      <c r="AX31" s="21" t="s">
        <v>117</v>
      </c>
    </row>
    <row r="32" spans="1:50" x14ac:dyDescent="0.2">
      <c r="A32" s="15" t="s">
        <v>118</v>
      </c>
      <c r="B32" s="15" t="s">
        <v>97</v>
      </c>
      <c r="C32" s="15" t="s">
        <v>119</v>
      </c>
      <c r="D32" s="29" t="s">
        <v>82</v>
      </c>
      <c r="E32" s="15">
        <v>1</v>
      </c>
      <c r="F32" s="15">
        <v>1</v>
      </c>
      <c r="G32" s="15" t="s">
        <v>120</v>
      </c>
      <c r="H32" s="17">
        <v>46314</v>
      </c>
      <c r="I32" s="17">
        <f>WORKDAY(H32,E32-1,Holidays!$A$2:$A$40)</f>
        <v>46314</v>
      </c>
      <c r="J32" s="18"/>
      <c r="K32" s="18"/>
      <c r="L32" s="19" t="s">
        <v>68</v>
      </c>
      <c r="M32" s="15" t="str">
        <f>IF(OR(K32="",I32=""),"",IF(K32&gt;=I32,NETWORKDAYS(I32,K32,Holidays!$A$2:$A$40)-1,-(NETWORKDAYS(K32,I32,Holidays!$A$2:$A$40)-1)))</f>
        <v/>
      </c>
      <c r="N32" s="20" t="str">
        <f t="shared" ca="1" si="8"/>
        <v/>
      </c>
      <c r="O32" s="20" t="str">
        <f t="shared" ca="1" si="8"/>
        <v/>
      </c>
      <c r="P32" s="20" t="str">
        <f t="shared" ca="1" si="8"/>
        <v/>
      </c>
      <c r="Q32" s="20" t="str">
        <f t="shared" ca="1" si="8"/>
        <v/>
      </c>
      <c r="R32" s="20" t="str">
        <f t="shared" ca="1" si="8"/>
        <v/>
      </c>
      <c r="S32" s="20" t="str">
        <f t="shared" ca="1" si="8"/>
        <v/>
      </c>
      <c r="T32" s="20" t="str">
        <f t="shared" ca="1" si="8"/>
        <v/>
      </c>
      <c r="U32" s="20" t="str">
        <f t="shared" ca="1" si="8"/>
        <v/>
      </c>
      <c r="V32" s="20" t="str">
        <f t="shared" ca="1" si="8"/>
        <v/>
      </c>
      <c r="W32" s="20" t="str">
        <f t="shared" ca="1" si="8"/>
        <v/>
      </c>
      <c r="X32" s="20" t="str">
        <f t="shared" ca="1" si="9"/>
        <v/>
      </c>
      <c r="Y32" s="20" t="str">
        <f t="shared" ca="1" si="9"/>
        <v/>
      </c>
      <c r="Z32" s="20" t="str">
        <f t="shared" ca="1" si="9"/>
        <v/>
      </c>
      <c r="AA32" s="20" t="str">
        <f t="shared" ca="1" si="9"/>
        <v/>
      </c>
      <c r="AB32" s="20" t="str">
        <f t="shared" ca="1" si="9"/>
        <v/>
      </c>
      <c r="AC32" s="20" t="str">
        <f t="shared" ca="1" si="9"/>
        <v/>
      </c>
      <c r="AD32" s="20" t="str">
        <f t="shared" ca="1" si="9"/>
        <v/>
      </c>
      <c r="AE32" s="20" t="str">
        <f t="shared" ca="1" si="9"/>
        <v/>
      </c>
      <c r="AF32" s="20" t="str">
        <f t="shared" ca="1" si="9"/>
        <v/>
      </c>
      <c r="AG32" s="20" t="str">
        <f t="shared" ca="1" si="9"/>
        <v/>
      </c>
      <c r="AH32" s="20" t="str">
        <f t="shared" ca="1" si="10"/>
        <v/>
      </c>
      <c r="AI32" s="20" t="str">
        <f t="shared" ca="1" si="10"/>
        <v/>
      </c>
      <c r="AJ32" s="20" t="str">
        <f t="shared" ca="1" si="10"/>
        <v/>
      </c>
      <c r="AK32" s="20" t="str">
        <f t="shared" ca="1" si="10"/>
        <v/>
      </c>
      <c r="AL32" s="20" t="str">
        <f t="shared" ca="1" si="10"/>
        <v/>
      </c>
      <c r="AM32" s="20" t="str">
        <f t="shared" ca="1" si="10"/>
        <v/>
      </c>
      <c r="AN32" s="20" t="str">
        <f t="shared" ca="1" si="10"/>
        <v/>
      </c>
      <c r="AO32" s="20" t="str">
        <f t="shared" ca="1" si="10"/>
        <v/>
      </c>
      <c r="AP32" s="20" t="str">
        <f t="shared" ca="1" si="10"/>
        <v/>
      </c>
      <c r="AQ32" s="20" t="str">
        <f t="shared" ca="1" si="10"/>
        <v/>
      </c>
      <c r="AR32" s="20" t="str">
        <f t="shared" ca="1" si="11"/>
        <v/>
      </c>
      <c r="AS32" s="20" t="str">
        <f t="shared" ca="1" si="11"/>
        <v/>
      </c>
      <c r="AT32" s="20" t="str">
        <f t="shared" ca="1" si="11"/>
        <v/>
      </c>
      <c r="AU32" s="20" t="str">
        <f t="shared" ca="1" si="11"/>
        <v/>
      </c>
      <c r="AV32" s="20" t="str">
        <f t="shared" ca="1" si="11"/>
        <v/>
      </c>
      <c r="AW32" s="20" t="str">
        <f t="shared" ca="1" si="11"/>
        <v/>
      </c>
      <c r="AX32" s="21" t="s">
        <v>121</v>
      </c>
    </row>
    <row r="33" spans="1:50" x14ac:dyDescent="0.2">
      <c r="A33" s="15" t="s">
        <v>122</v>
      </c>
      <c r="B33" s="15" t="s">
        <v>97</v>
      </c>
      <c r="C33" s="15" t="s">
        <v>123</v>
      </c>
      <c r="D33" s="22" t="s">
        <v>44</v>
      </c>
      <c r="E33" s="15">
        <v>1</v>
      </c>
      <c r="F33" s="15">
        <v>1</v>
      </c>
      <c r="G33" s="15" t="s">
        <v>99</v>
      </c>
      <c r="H33" s="17">
        <v>46309</v>
      </c>
      <c r="I33" s="17">
        <f>WORKDAY(H33,E33-1,Holidays!$A$2:$A$40)</f>
        <v>46309</v>
      </c>
      <c r="J33" s="18"/>
      <c r="K33" s="18"/>
      <c r="L33" s="19" t="s">
        <v>68</v>
      </c>
      <c r="M33" s="15" t="str">
        <f>IF(OR(K33="",I33=""),"",IF(K33&gt;=I33,NETWORKDAYS(I33,K33,Holidays!$A$2:$A$40)-1,-(NETWORKDAYS(K33,I33,Holidays!$A$2:$A$40)-1)))</f>
        <v/>
      </c>
      <c r="N33" s="20" t="str">
        <f t="shared" ca="1" si="8"/>
        <v/>
      </c>
      <c r="O33" s="20" t="str">
        <f t="shared" ca="1" si="8"/>
        <v/>
      </c>
      <c r="P33" s="20" t="str">
        <f t="shared" ca="1" si="8"/>
        <v/>
      </c>
      <c r="Q33" s="20" t="str">
        <f t="shared" ca="1" si="8"/>
        <v/>
      </c>
      <c r="R33" s="20" t="str">
        <f t="shared" ca="1" si="8"/>
        <v/>
      </c>
      <c r="S33" s="20" t="str">
        <f t="shared" ca="1" si="8"/>
        <v/>
      </c>
      <c r="T33" s="20" t="str">
        <f t="shared" ca="1" si="8"/>
        <v/>
      </c>
      <c r="U33" s="20" t="str">
        <f t="shared" ca="1" si="8"/>
        <v/>
      </c>
      <c r="V33" s="20" t="str">
        <f t="shared" ca="1" si="8"/>
        <v/>
      </c>
      <c r="W33" s="20" t="str">
        <f t="shared" ca="1" si="8"/>
        <v/>
      </c>
      <c r="X33" s="20" t="str">
        <f t="shared" ca="1" si="9"/>
        <v/>
      </c>
      <c r="Y33" s="20" t="str">
        <f t="shared" ca="1" si="9"/>
        <v/>
      </c>
      <c r="Z33" s="20" t="str">
        <f t="shared" ca="1" si="9"/>
        <v/>
      </c>
      <c r="AA33" s="20" t="str">
        <f t="shared" ca="1" si="9"/>
        <v/>
      </c>
      <c r="AB33" s="20" t="str">
        <f t="shared" ca="1" si="9"/>
        <v/>
      </c>
      <c r="AC33" s="20" t="str">
        <f t="shared" ca="1" si="9"/>
        <v/>
      </c>
      <c r="AD33" s="20" t="str">
        <f t="shared" ca="1" si="9"/>
        <v/>
      </c>
      <c r="AE33" s="20" t="str">
        <f t="shared" ca="1" si="9"/>
        <v/>
      </c>
      <c r="AF33" s="20" t="str">
        <f t="shared" ca="1" si="9"/>
        <v/>
      </c>
      <c r="AG33" s="20" t="str">
        <f t="shared" ca="1" si="9"/>
        <v/>
      </c>
      <c r="AH33" s="20" t="str">
        <f t="shared" ca="1" si="10"/>
        <v/>
      </c>
      <c r="AI33" s="20" t="str">
        <f t="shared" ca="1" si="10"/>
        <v/>
      </c>
      <c r="AJ33" s="20" t="str">
        <f t="shared" ca="1" si="10"/>
        <v/>
      </c>
      <c r="AK33" s="20" t="str">
        <f t="shared" ca="1" si="10"/>
        <v/>
      </c>
      <c r="AL33" s="20" t="str">
        <f t="shared" ca="1" si="10"/>
        <v/>
      </c>
      <c r="AM33" s="20" t="str">
        <f t="shared" ca="1" si="10"/>
        <v/>
      </c>
      <c r="AN33" s="20" t="str">
        <f t="shared" ca="1" si="10"/>
        <v/>
      </c>
      <c r="AO33" s="20" t="str">
        <f t="shared" ca="1" si="10"/>
        <v/>
      </c>
      <c r="AP33" s="20" t="str">
        <f t="shared" ca="1" si="10"/>
        <v/>
      </c>
      <c r="AQ33" s="20" t="str">
        <f t="shared" ca="1" si="10"/>
        <v/>
      </c>
      <c r="AR33" s="20" t="str">
        <f t="shared" ca="1" si="11"/>
        <v/>
      </c>
      <c r="AS33" s="20" t="str">
        <f t="shared" ca="1" si="11"/>
        <v/>
      </c>
      <c r="AT33" s="20" t="str">
        <f t="shared" ca="1" si="11"/>
        <v/>
      </c>
      <c r="AU33" s="20" t="str">
        <f t="shared" ca="1" si="11"/>
        <v/>
      </c>
      <c r="AV33" s="20" t="str">
        <f t="shared" ca="1" si="11"/>
        <v/>
      </c>
      <c r="AW33" s="20" t="str">
        <f t="shared" ca="1" si="11"/>
        <v/>
      </c>
      <c r="AX33" s="21" t="s">
        <v>124</v>
      </c>
    </row>
    <row r="34" spans="1:50" x14ac:dyDescent="0.2">
      <c r="A34" s="33" t="s">
        <v>125</v>
      </c>
      <c r="B34" s="34" t="s">
        <v>125</v>
      </c>
      <c r="C34" s="34" t="s">
        <v>126</v>
      </c>
      <c r="D34" s="34"/>
      <c r="E34" s="34">
        <f>NETWORKDAYS(H34,I34,Holidays!$A$2:$A$40)</f>
        <v>6</v>
      </c>
      <c r="F34" s="34"/>
      <c r="G34" s="34"/>
      <c r="H34" s="35">
        <f>MIN(H35:H43)</f>
        <v>46309</v>
      </c>
      <c r="I34" s="35">
        <f>MAX(I35:I43)</f>
        <v>46316</v>
      </c>
      <c r="J34" s="34"/>
      <c r="K34" s="34"/>
      <c r="L34" s="34"/>
      <c r="M34" s="3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</row>
    <row r="35" spans="1:50" x14ac:dyDescent="0.2">
      <c r="A35" s="15" t="s">
        <v>127</v>
      </c>
      <c r="B35" s="15" t="s">
        <v>125</v>
      </c>
      <c r="C35" s="15" t="s">
        <v>128</v>
      </c>
      <c r="D35" s="16" t="s">
        <v>39</v>
      </c>
      <c r="E35" s="15">
        <v>1</v>
      </c>
      <c r="F35" s="15">
        <v>1</v>
      </c>
      <c r="G35" s="15" t="s">
        <v>107</v>
      </c>
      <c r="H35" s="17">
        <v>46310</v>
      </c>
      <c r="I35" s="17">
        <f>WORKDAY(H35,E35-1,Holidays!$A$2:$A$40)</f>
        <v>46310</v>
      </c>
      <c r="J35" s="18"/>
      <c r="K35" s="18"/>
      <c r="L35" s="19" t="s">
        <v>68</v>
      </c>
      <c r="M35" s="15" t="str">
        <f>IF(OR(K35="",I35=""),"",IF(K35&gt;=I35,NETWORKDAYS(I35,K35,Holidays!$A$2:$A$40)-1,-(NETWORKDAYS(K35,I35,Holidays!$A$2:$A$40)-1)))</f>
        <v/>
      </c>
      <c r="N35" s="20" t="str">
        <f t="shared" ref="N35:W43" ca="1" si="12">IF(AND($J35&lt;&gt;"",N$4&gt;=$J35,N$4&lt;=IF($K35="",TODAY(),$K35),N$65=0),"●","")</f>
        <v/>
      </c>
      <c r="O35" s="20" t="str">
        <f t="shared" ca="1" si="12"/>
        <v/>
      </c>
      <c r="P35" s="20" t="str">
        <f t="shared" ca="1" si="12"/>
        <v/>
      </c>
      <c r="Q35" s="20" t="str">
        <f t="shared" ca="1" si="12"/>
        <v/>
      </c>
      <c r="R35" s="20" t="str">
        <f t="shared" ca="1" si="12"/>
        <v/>
      </c>
      <c r="S35" s="20" t="str">
        <f t="shared" ca="1" si="12"/>
        <v/>
      </c>
      <c r="T35" s="20" t="str">
        <f t="shared" ca="1" si="12"/>
        <v/>
      </c>
      <c r="U35" s="20" t="str">
        <f t="shared" ca="1" si="12"/>
        <v/>
      </c>
      <c r="V35" s="20" t="str">
        <f t="shared" ca="1" si="12"/>
        <v/>
      </c>
      <c r="W35" s="20" t="str">
        <f t="shared" ca="1" si="12"/>
        <v/>
      </c>
      <c r="X35" s="20" t="str">
        <f t="shared" ref="X35:AG43" ca="1" si="13">IF(AND($J35&lt;&gt;"",X$4&gt;=$J35,X$4&lt;=IF($K35="",TODAY(),$K35),X$65=0),"●","")</f>
        <v/>
      </c>
      <c r="Y35" s="20" t="str">
        <f t="shared" ca="1" si="13"/>
        <v/>
      </c>
      <c r="Z35" s="20" t="str">
        <f t="shared" ca="1" si="13"/>
        <v/>
      </c>
      <c r="AA35" s="20" t="str">
        <f t="shared" ca="1" si="13"/>
        <v/>
      </c>
      <c r="AB35" s="20" t="str">
        <f t="shared" ca="1" si="13"/>
        <v/>
      </c>
      <c r="AC35" s="20" t="str">
        <f t="shared" ca="1" si="13"/>
        <v/>
      </c>
      <c r="AD35" s="20" t="str">
        <f t="shared" ca="1" si="13"/>
        <v/>
      </c>
      <c r="AE35" s="20" t="str">
        <f t="shared" ca="1" si="13"/>
        <v/>
      </c>
      <c r="AF35" s="20" t="str">
        <f t="shared" ca="1" si="13"/>
        <v/>
      </c>
      <c r="AG35" s="20" t="str">
        <f t="shared" ca="1" si="13"/>
        <v/>
      </c>
      <c r="AH35" s="20" t="str">
        <f t="shared" ref="AH35:AQ43" ca="1" si="14">IF(AND($J35&lt;&gt;"",AH$4&gt;=$J35,AH$4&lt;=IF($K35="",TODAY(),$K35),AH$65=0),"●","")</f>
        <v/>
      </c>
      <c r="AI35" s="20" t="str">
        <f t="shared" ca="1" si="14"/>
        <v/>
      </c>
      <c r="AJ35" s="20" t="str">
        <f t="shared" ca="1" si="14"/>
        <v/>
      </c>
      <c r="AK35" s="20" t="str">
        <f t="shared" ca="1" si="14"/>
        <v/>
      </c>
      <c r="AL35" s="20" t="str">
        <f t="shared" ca="1" si="14"/>
        <v/>
      </c>
      <c r="AM35" s="20" t="str">
        <f t="shared" ca="1" si="14"/>
        <v/>
      </c>
      <c r="AN35" s="20" t="str">
        <f t="shared" ca="1" si="14"/>
        <v/>
      </c>
      <c r="AO35" s="20" t="str">
        <f t="shared" ca="1" si="14"/>
        <v/>
      </c>
      <c r="AP35" s="20" t="str">
        <f t="shared" ca="1" si="14"/>
        <v/>
      </c>
      <c r="AQ35" s="20" t="str">
        <f t="shared" ca="1" si="14"/>
        <v/>
      </c>
      <c r="AR35" s="20" t="str">
        <f t="shared" ref="AR35:AW43" ca="1" si="15">IF(AND($J35&lt;&gt;"",AR$4&gt;=$J35,AR$4&lt;=IF($K35="",TODAY(),$K35),AR$65=0),"●","")</f>
        <v/>
      </c>
      <c r="AS35" s="20" t="str">
        <f t="shared" ca="1" si="15"/>
        <v/>
      </c>
      <c r="AT35" s="20" t="str">
        <f t="shared" ca="1" si="15"/>
        <v/>
      </c>
      <c r="AU35" s="20" t="str">
        <f t="shared" ca="1" si="15"/>
        <v/>
      </c>
      <c r="AV35" s="20" t="str">
        <f t="shared" ca="1" si="15"/>
        <v/>
      </c>
      <c r="AW35" s="20" t="str">
        <f t="shared" ca="1" si="15"/>
        <v/>
      </c>
      <c r="AX35" s="21" t="s">
        <v>129</v>
      </c>
    </row>
    <row r="36" spans="1:50" x14ac:dyDescent="0.2">
      <c r="A36" s="15" t="s">
        <v>130</v>
      </c>
      <c r="B36" s="15" t="s">
        <v>125</v>
      </c>
      <c r="C36" s="15" t="s">
        <v>131</v>
      </c>
      <c r="D36" s="16" t="s">
        <v>39</v>
      </c>
      <c r="E36" s="15">
        <v>2</v>
      </c>
      <c r="F36" s="15">
        <v>2</v>
      </c>
      <c r="G36" s="15" t="s">
        <v>127</v>
      </c>
      <c r="H36" s="17">
        <v>46311</v>
      </c>
      <c r="I36" s="17">
        <f>WORKDAY(H36,E36-1,Holidays!$A$2:$A$40)</f>
        <v>46314</v>
      </c>
      <c r="J36" s="18"/>
      <c r="K36" s="18"/>
      <c r="L36" s="19" t="s">
        <v>68</v>
      </c>
      <c r="M36" s="15" t="str">
        <f>IF(OR(K36="",I36=""),"",IF(K36&gt;=I36,NETWORKDAYS(I36,K36,Holidays!$A$2:$A$40)-1,-(NETWORKDAYS(K36,I36,Holidays!$A$2:$A$40)-1)))</f>
        <v/>
      </c>
      <c r="N36" s="20" t="str">
        <f t="shared" ca="1" si="12"/>
        <v/>
      </c>
      <c r="O36" s="20" t="str">
        <f t="shared" ca="1" si="12"/>
        <v/>
      </c>
      <c r="P36" s="20" t="str">
        <f t="shared" ca="1" si="12"/>
        <v/>
      </c>
      <c r="Q36" s="20" t="str">
        <f t="shared" ca="1" si="12"/>
        <v/>
      </c>
      <c r="R36" s="20" t="str">
        <f t="shared" ca="1" si="12"/>
        <v/>
      </c>
      <c r="S36" s="20" t="str">
        <f t="shared" ca="1" si="12"/>
        <v/>
      </c>
      <c r="T36" s="20" t="str">
        <f t="shared" ca="1" si="12"/>
        <v/>
      </c>
      <c r="U36" s="20" t="str">
        <f t="shared" ca="1" si="12"/>
        <v/>
      </c>
      <c r="V36" s="20" t="str">
        <f t="shared" ca="1" si="12"/>
        <v/>
      </c>
      <c r="W36" s="20" t="str">
        <f t="shared" ca="1" si="12"/>
        <v/>
      </c>
      <c r="X36" s="20" t="str">
        <f t="shared" ca="1" si="13"/>
        <v/>
      </c>
      <c r="Y36" s="20" t="str">
        <f t="shared" ca="1" si="13"/>
        <v/>
      </c>
      <c r="Z36" s="20" t="str">
        <f t="shared" ca="1" si="13"/>
        <v/>
      </c>
      <c r="AA36" s="20" t="str">
        <f t="shared" ca="1" si="13"/>
        <v/>
      </c>
      <c r="AB36" s="20" t="str">
        <f t="shared" ca="1" si="13"/>
        <v/>
      </c>
      <c r="AC36" s="20" t="str">
        <f t="shared" ca="1" si="13"/>
        <v/>
      </c>
      <c r="AD36" s="20" t="str">
        <f t="shared" ca="1" si="13"/>
        <v/>
      </c>
      <c r="AE36" s="20" t="str">
        <f t="shared" ca="1" si="13"/>
        <v/>
      </c>
      <c r="AF36" s="20" t="str">
        <f t="shared" ca="1" si="13"/>
        <v/>
      </c>
      <c r="AG36" s="20" t="str">
        <f t="shared" ca="1" si="13"/>
        <v/>
      </c>
      <c r="AH36" s="20" t="str">
        <f t="shared" ca="1" si="14"/>
        <v/>
      </c>
      <c r="AI36" s="20" t="str">
        <f t="shared" ca="1" si="14"/>
        <v/>
      </c>
      <c r="AJ36" s="20" t="str">
        <f t="shared" ca="1" si="14"/>
        <v/>
      </c>
      <c r="AK36" s="20" t="str">
        <f t="shared" ca="1" si="14"/>
        <v/>
      </c>
      <c r="AL36" s="20" t="str">
        <f t="shared" ca="1" si="14"/>
        <v/>
      </c>
      <c r="AM36" s="20" t="str">
        <f t="shared" ca="1" si="14"/>
        <v/>
      </c>
      <c r="AN36" s="20" t="str">
        <f t="shared" ca="1" si="14"/>
        <v/>
      </c>
      <c r="AO36" s="20" t="str">
        <f t="shared" ca="1" si="14"/>
        <v/>
      </c>
      <c r="AP36" s="20" t="str">
        <f t="shared" ca="1" si="14"/>
        <v/>
      </c>
      <c r="AQ36" s="20" t="str">
        <f t="shared" ca="1" si="14"/>
        <v/>
      </c>
      <c r="AR36" s="20" t="str">
        <f t="shared" ca="1" si="15"/>
        <v/>
      </c>
      <c r="AS36" s="20" t="str">
        <f t="shared" ca="1" si="15"/>
        <v/>
      </c>
      <c r="AT36" s="20" t="str">
        <f t="shared" ca="1" si="15"/>
        <v/>
      </c>
      <c r="AU36" s="20" t="str">
        <f t="shared" ca="1" si="15"/>
        <v/>
      </c>
      <c r="AV36" s="20" t="str">
        <f t="shared" ca="1" si="15"/>
        <v/>
      </c>
      <c r="AW36" s="20" t="str">
        <f t="shared" ca="1" si="15"/>
        <v/>
      </c>
      <c r="AX36" s="21" t="s">
        <v>132</v>
      </c>
    </row>
    <row r="37" spans="1:50" x14ac:dyDescent="0.2">
      <c r="A37" s="15" t="s">
        <v>133</v>
      </c>
      <c r="B37" s="15" t="s">
        <v>125</v>
      </c>
      <c r="C37" s="15" t="s">
        <v>134</v>
      </c>
      <c r="D37" s="28" t="s">
        <v>78</v>
      </c>
      <c r="E37" s="15">
        <v>2</v>
      </c>
      <c r="F37" s="15">
        <v>2</v>
      </c>
      <c r="G37" s="15" t="s">
        <v>135</v>
      </c>
      <c r="H37" s="17">
        <v>46309</v>
      </c>
      <c r="I37" s="17">
        <f>WORKDAY(H37,E37-1,Holidays!$A$2:$A$40)</f>
        <v>46310</v>
      </c>
      <c r="J37" s="18"/>
      <c r="K37" s="18"/>
      <c r="L37" s="19" t="s">
        <v>68</v>
      </c>
      <c r="M37" s="15" t="str">
        <f>IF(OR(K37="",I37=""),"",IF(K37&gt;=I37,NETWORKDAYS(I37,K37,Holidays!$A$2:$A$40)-1,-(NETWORKDAYS(K37,I37,Holidays!$A$2:$A$40)-1)))</f>
        <v/>
      </c>
      <c r="N37" s="20" t="str">
        <f t="shared" ca="1" si="12"/>
        <v/>
      </c>
      <c r="O37" s="20" t="str">
        <f t="shared" ca="1" si="12"/>
        <v/>
      </c>
      <c r="P37" s="20" t="str">
        <f t="shared" ca="1" si="12"/>
        <v/>
      </c>
      <c r="Q37" s="20" t="str">
        <f t="shared" ca="1" si="12"/>
        <v/>
      </c>
      <c r="R37" s="20" t="str">
        <f t="shared" ca="1" si="12"/>
        <v/>
      </c>
      <c r="S37" s="20" t="str">
        <f t="shared" ca="1" si="12"/>
        <v/>
      </c>
      <c r="T37" s="20" t="str">
        <f t="shared" ca="1" si="12"/>
        <v/>
      </c>
      <c r="U37" s="20" t="str">
        <f t="shared" ca="1" si="12"/>
        <v/>
      </c>
      <c r="V37" s="20" t="str">
        <f t="shared" ca="1" si="12"/>
        <v/>
      </c>
      <c r="W37" s="20" t="str">
        <f t="shared" ca="1" si="12"/>
        <v/>
      </c>
      <c r="X37" s="20" t="str">
        <f t="shared" ca="1" si="13"/>
        <v/>
      </c>
      <c r="Y37" s="20" t="str">
        <f t="shared" ca="1" si="13"/>
        <v/>
      </c>
      <c r="Z37" s="20" t="str">
        <f t="shared" ca="1" si="13"/>
        <v/>
      </c>
      <c r="AA37" s="20" t="str">
        <f t="shared" ca="1" si="13"/>
        <v/>
      </c>
      <c r="AB37" s="20" t="str">
        <f t="shared" ca="1" si="13"/>
        <v/>
      </c>
      <c r="AC37" s="20" t="str">
        <f t="shared" ca="1" si="13"/>
        <v/>
      </c>
      <c r="AD37" s="20" t="str">
        <f t="shared" ca="1" si="13"/>
        <v/>
      </c>
      <c r="AE37" s="20" t="str">
        <f t="shared" ca="1" si="13"/>
        <v/>
      </c>
      <c r="AF37" s="20" t="str">
        <f t="shared" ca="1" si="13"/>
        <v/>
      </c>
      <c r="AG37" s="20" t="str">
        <f t="shared" ca="1" si="13"/>
        <v/>
      </c>
      <c r="AH37" s="20" t="str">
        <f t="shared" ca="1" si="14"/>
        <v/>
      </c>
      <c r="AI37" s="20" t="str">
        <f t="shared" ca="1" si="14"/>
        <v/>
      </c>
      <c r="AJ37" s="20" t="str">
        <f t="shared" ca="1" si="14"/>
        <v/>
      </c>
      <c r="AK37" s="20" t="str">
        <f t="shared" ca="1" si="14"/>
        <v/>
      </c>
      <c r="AL37" s="20" t="str">
        <f t="shared" ca="1" si="14"/>
        <v/>
      </c>
      <c r="AM37" s="20" t="str">
        <f t="shared" ca="1" si="14"/>
        <v/>
      </c>
      <c r="AN37" s="20" t="str">
        <f t="shared" ca="1" si="14"/>
        <v/>
      </c>
      <c r="AO37" s="20" t="str">
        <f t="shared" ca="1" si="14"/>
        <v/>
      </c>
      <c r="AP37" s="20" t="str">
        <f t="shared" ca="1" si="14"/>
        <v/>
      </c>
      <c r="AQ37" s="20" t="str">
        <f t="shared" ca="1" si="14"/>
        <v/>
      </c>
      <c r="AR37" s="20" t="str">
        <f t="shared" ca="1" si="15"/>
        <v/>
      </c>
      <c r="AS37" s="20" t="str">
        <f t="shared" ca="1" si="15"/>
        <v/>
      </c>
      <c r="AT37" s="20" t="str">
        <f t="shared" ca="1" si="15"/>
        <v/>
      </c>
      <c r="AU37" s="20" t="str">
        <f t="shared" ca="1" si="15"/>
        <v/>
      </c>
      <c r="AV37" s="20" t="str">
        <f t="shared" ca="1" si="15"/>
        <v/>
      </c>
      <c r="AW37" s="20" t="str">
        <f t="shared" ca="1" si="15"/>
        <v/>
      </c>
      <c r="AX37" s="21" t="s">
        <v>136</v>
      </c>
    </row>
    <row r="38" spans="1:50" x14ac:dyDescent="0.2">
      <c r="A38" s="15" t="s">
        <v>137</v>
      </c>
      <c r="B38" s="15" t="s">
        <v>125</v>
      </c>
      <c r="C38" s="15" t="s">
        <v>138</v>
      </c>
      <c r="D38" s="28" t="s">
        <v>78</v>
      </c>
      <c r="E38" s="15">
        <v>2</v>
      </c>
      <c r="F38" s="15">
        <v>2</v>
      </c>
      <c r="G38" s="15" t="s">
        <v>133</v>
      </c>
      <c r="H38" s="17">
        <v>46311</v>
      </c>
      <c r="I38" s="17">
        <f>WORKDAY(H38,E38-1,Holidays!$A$2:$A$40)</f>
        <v>46314</v>
      </c>
      <c r="J38" s="18"/>
      <c r="K38" s="18"/>
      <c r="L38" s="19" t="s">
        <v>68</v>
      </c>
      <c r="M38" s="15" t="str">
        <f>IF(OR(K38="",I38=""),"",IF(K38&gt;=I38,NETWORKDAYS(I38,K38,Holidays!$A$2:$A$40)-1,-(NETWORKDAYS(K38,I38,Holidays!$A$2:$A$40)-1)))</f>
        <v/>
      </c>
      <c r="N38" s="20" t="str">
        <f t="shared" ca="1" si="12"/>
        <v/>
      </c>
      <c r="O38" s="20" t="str">
        <f t="shared" ca="1" si="12"/>
        <v/>
      </c>
      <c r="P38" s="20" t="str">
        <f t="shared" ca="1" si="12"/>
        <v/>
      </c>
      <c r="Q38" s="20" t="str">
        <f t="shared" ca="1" si="12"/>
        <v/>
      </c>
      <c r="R38" s="20" t="str">
        <f t="shared" ca="1" si="12"/>
        <v/>
      </c>
      <c r="S38" s="20" t="str">
        <f t="shared" ca="1" si="12"/>
        <v/>
      </c>
      <c r="T38" s="20" t="str">
        <f t="shared" ca="1" si="12"/>
        <v/>
      </c>
      <c r="U38" s="20" t="str">
        <f t="shared" ca="1" si="12"/>
        <v/>
      </c>
      <c r="V38" s="20" t="str">
        <f t="shared" ca="1" si="12"/>
        <v/>
      </c>
      <c r="W38" s="20" t="str">
        <f t="shared" ca="1" si="12"/>
        <v/>
      </c>
      <c r="X38" s="20" t="str">
        <f t="shared" ca="1" si="13"/>
        <v/>
      </c>
      <c r="Y38" s="20" t="str">
        <f t="shared" ca="1" si="13"/>
        <v/>
      </c>
      <c r="Z38" s="20" t="str">
        <f t="shared" ca="1" si="13"/>
        <v/>
      </c>
      <c r="AA38" s="20" t="str">
        <f t="shared" ca="1" si="13"/>
        <v/>
      </c>
      <c r="AB38" s="20" t="str">
        <f t="shared" ca="1" si="13"/>
        <v/>
      </c>
      <c r="AC38" s="20" t="str">
        <f t="shared" ca="1" si="13"/>
        <v/>
      </c>
      <c r="AD38" s="20" t="str">
        <f t="shared" ca="1" si="13"/>
        <v/>
      </c>
      <c r="AE38" s="20" t="str">
        <f t="shared" ca="1" si="13"/>
        <v/>
      </c>
      <c r="AF38" s="20" t="str">
        <f t="shared" ca="1" si="13"/>
        <v/>
      </c>
      <c r="AG38" s="20" t="str">
        <f t="shared" ca="1" si="13"/>
        <v/>
      </c>
      <c r="AH38" s="20" t="str">
        <f t="shared" ca="1" si="14"/>
        <v/>
      </c>
      <c r="AI38" s="20" t="str">
        <f t="shared" ca="1" si="14"/>
        <v/>
      </c>
      <c r="AJ38" s="20" t="str">
        <f t="shared" ca="1" si="14"/>
        <v/>
      </c>
      <c r="AK38" s="20" t="str">
        <f t="shared" ca="1" si="14"/>
        <v/>
      </c>
      <c r="AL38" s="20" t="str">
        <f t="shared" ca="1" si="14"/>
        <v/>
      </c>
      <c r="AM38" s="20" t="str">
        <f t="shared" ca="1" si="14"/>
        <v/>
      </c>
      <c r="AN38" s="20" t="str">
        <f t="shared" ca="1" si="14"/>
        <v/>
      </c>
      <c r="AO38" s="20" t="str">
        <f t="shared" ca="1" si="14"/>
        <v/>
      </c>
      <c r="AP38" s="20" t="str">
        <f t="shared" ca="1" si="14"/>
        <v/>
      </c>
      <c r="AQ38" s="20" t="str">
        <f t="shared" ca="1" si="14"/>
        <v/>
      </c>
      <c r="AR38" s="20" t="str">
        <f t="shared" ca="1" si="15"/>
        <v/>
      </c>
      <c r="AS38" s="20" t="str">
        <f t="shared" ca="1" si="15"/>
        <v/>
      </c>
      <c r="AT38" s="20" t="str">
        <f t="shared" ca="1" si="15"/>
        <v/>
      </c>
      <c r="AU38" s="20" t="str">
        <f t="shared" ca="1" si="15"/>
        <v/>
      </c>
      <c r="AV38" s="20" t="str">
        <f t="shared" ca="1" si="15"/>
        <v/>
      </c>
      <c r="AW38" s="20" t="str">
        <f t="shared" ca="1" si="15"/>
        <v/>
      </c>
      <c r="AX38" s="21" t="s">
        <v>139</v>
      </c>
    </row>
    <row r="39" spans="1:50" x14ac:dyDescent="0.2">
      <c r="A39" s="15" t="s">
        <v>140</v>
      </c>
      <c r="B39" s="15" t="s">
        <v>125</v>
      </c>
      <c r="C39" s="15" t="s">
        <v>141</v>
      </c>
      <c r="D39" s="28" t="s">
        <v>78</v>
      </c>
      <c r="E39" s="15">
        <v>1</v>
      </c>
      <c r="F39" s="15">
        <v>1</v>
      </c>
      <c r="G39" s="15" t="s">
        <v>142</v>
      </c>
      <c r="H39" s="17">
        <v>46315</v>
      </c>
      <c r="I39" s="17">
        <f>WORKDAY(H39,E39-1,Holidays!$A$2:$A$40)</f>
        <v>46315</v>
      </c>
      <c r="J39" s="18"/>
      <c r="K39" s="18"/>
      <c r="L39" s="19" t="s">
        <v>68</v>
      </c>
      <c r="M39" s="15" t="str">
        <f>IF(OR(K39="",I39=""),"",IF(K39&gt;=I39,NETWORKDAYS(I39,K39,Holidays!$A$2:$A$40)-1,-(NETWORKDAYS(K39,I39,Holidays!$A$2:$A$40)-1)))</f>
        <v/>
      </c>
      <c r="N39" s="20" t="str">
        <f t="shared" ca="1" si="12"/>
        <v/>
      </c>
      <c r="O39" s="20" t="str">
        <f t="shared" ca="1" si="12"/>
        <v/>
      </c>
      <c r="P39" s="20" t="str">
        <f t="shared" ca="1" si="12"/>
        <v/>
      </c>
      <c r="Q39" s="20" t="str">
        <f t="shared" ca="1" si="12"/>
        <v/>
      </c>
      <c r="R39" s="20" t="str">
        <f t="shared" ca="1" si="12"/>
        <v/>
      </c>
      <c r="S39" s="20" t="str">
        <f t="shared" ca="1" si="12"/>
        <v/>
      </c>
      <c r="T39" s="20" t="str">
        <f t="shared" ca="1" si="12"/>
        <v/>
      </c>
      <c r="U39" s="20" t="str">
        <f t="shared" ca="1" si="12"/>
        <v/>
      </c>
      <c r="V39" s="20" t="str">
        <f t="shared" ca="1" si="12"/>
        <v/>
      </c>
      <c r="W39" s="20" t="str">
        <f t="shared" ca="1" si="12"/>
        <v/>
      </c>
      <c r="X39" s="20" t="str">
        <f t="shared" ca="1" si="13"/>
        <v/>
      </c>
      <c r="Y39" s="20" t="str">
        <f t="shared" ca="1" si="13"/>
        <v/>
      </c>
      <c r="Z39" s="20" t="str">
        <f t="shared" ca="1" si="13"/>
        <v/>
      </c>
      <c r="AA39" s="20" t="str">
        <f t="shared" ca="1" si="13"/>
        <v/>
      </c>
      <c r="AB39" s="20" t="str">
        <f t="shared" ca="1" si="13"/>
        <v/>
      </c>
      <c r="AC39" s="20" t="str">
        <f t="shared" ca="1" si="13"/>
        <v/>
      </c>
      <c r="AD39" s="20" t="str">
        <f t="shared" ca="1" si="13"/>
        <v/>
      </c>
      <c r="AE39" s="20" t="str">
        <f t="shared" ca="1" si="13"/>
        <v/>
      </c>
      <c r="AF39" s="20" t="str">
        <f t="shared" ca="1" si="13"/>
        <v/>
      </c>
      <c r="AG39" s="20" t="str">
        <f t="shared" ca="1" si="13"/>
        <v/>
      </c>
      <c r="AH39" s="20" t="str">
        <f t="shared" ca="1" si="14"/>
        <v/>
      </c>
      <c r="AI39" s="20" t="str">
        <f t="shared" ca="1" si="14"/>
        <v/>
      </c>
      <c r="AJ39" s="20" t="str">
        <f t="shared" ca="1" si="14"/>
        <v/>
      </c>
      <c r="AK39" s="20" t="str">
        <f t="shared" ca="1" si="14"/>
        <v/>
      </c>
      <c r="AL39" s="20" t="str">
        <f t="shared" ca="1" si="14"/>
        <v/>
      </c>
      <c r="AM39" s="20" t="str">
        <f t="shared" ca="1" si="14"/>
        <v/>
      </c>
      <c r="AN39" s="20" t="str">
        <f t="shared" ca="1" si="14"/>
        <v/>
      </c>
      <c r="AO39" s="20" t="str">
        <f t="shared" ca="1" si="14"/>
        <v/>
      </c>
      <c r="AP39" s="20" t="str">
        <f t="shared" ca="1" si="14"/>
        <v/>
      </c>
      <c r="AQ39" s="20" t="str">
        <f t="shared" ca="1" si="14"/>
        <v/>
      </c>
      <c r="AR39" s="20" t="str">
        <f t="shared" ca="1" si="15"/>
        <v/>
      </c>
      <c r="AS39" s="20" t="str">
        <f t="shared" ca="1" si="15"/>
        <v/>
      </c>
      <c r="AT39" s="20" t="str">
        <f t="shared" ca="1" si="15"/>
        <v/>
      </c>
      <c r="AU39" s="20" t="str">
        <f t="shared" ca="1" si="15"/>
        <v/>
      </c>
      <c r="AV39" s="20" t="str">
        <f t="shared" ca="1" si="15"/>
        <v/>
      </c>
      <c r="AW39" s="20" t="str">
        <f t="shared" ca="1" si="15"/>
        <v/>
      </c>
      <c r="AX39" s="21" t="s">
        <v>143</v>
      </c>
    </row>
    <row r="40" spans="1:50" x14ac:dyDescent="0.2">
      <c r="A40" s="15" t="s">
        <v>144</v>
      </c>
      <c r="B40" s="15" t="s">
        <v>125</v>
      </c>
      <c r="C40" s="15" t="s">
        <v>145</v>
      </c>
      <c r="D40" s="24" t="s">
        <v>53</v>
      </c>
      <c r="E40" s="15">
        <v>1</v>
      </c>
      <c r="F40" s="15">
        <v>1</v>
      </c>
      <c r="G40" s="15" t="s">
        <v>146</v>
      </c>
      <c r="H40" s="17">
        <v>46314</v>
      </c>
      <c r="I40" s="17">
        <f>WORKDAY(H40,E40-1,Holidays!$A$2:$A$40)</f>
        <v>46314</v>
      </c>
      <c r="J40" s="18"/>
      <c r="K40" s="18"/>
      <c r="L40" s="19" t="s">
        <v>68</v>
      </c>
      <c r="M40" s="15" t="str">
        <f>IF(OR(K40="",I40=""),"",IF(K40&gt;=I40,NETWORKDAYS(I40,K40,Holidays!$A$2:$A$40)-1,-(NETWORKDAYS(K40,I40,Holidays!$A$2:$A$40)-1)))</f>
        <v/>
      </c>
      <c r="N40" s="20" t="str">
        <f t="shared" ca="1" si="12"/>
        <v/>
      </c>
      <c r="O40" s="20" t="str">
        <f t="shared" ca="1" si="12"/>
        <v/>
      </c>
      <c r="P40" s="20" t="str">
        <f t="shared" ca="1" si="12"/>
        <v/>
      </c>
      <c r="Q40" s="20" t="str">
        <f t="shared" ca="1" si="12"/>
        <v/>
      </c>
      <c r="R40" s="20" t="str">
        <f t="shared" ca="1" si="12"/>
        <v/>
      </c>
      <c r="S40" s="20" t="str">
        <f t="shared" ca="1" si="12"/>
        <v/>
      </c>
      <c r="T40" s="20" t="str">
        <f t="shared" ca="1" si="12"/>
        <v/>
      </c>
      <c r="U40" s="20" t="str">
        <f t="shared" ca="1" si="12"/>
        <v/>
      </c>
      <c r="V40" s="20" t="str">
        <f t="shared" ca="1" si="12"/>
        <v/>
      </c>
      <c r="W40" s="20" t="str">
        <f t="shared" ca="1" si="12"/>
        <v/>
      </c>
      <c r="X40" s="20" t="str">
        <f t="shared" ca="1" si="13"/>
        <v/>
      </c>
      <c r="Y40" s="20" t="str">
        <f t="shared" ca="1" si="13"/>
        <v/>
      </c>
      <c r="Z40" s="20" t="str">
        <f t="shared" ca="1" si="13"/>
        <v/>
      </c>
      <c r="AA40" s="20" t="str">
        <f t="shared" ca="1" si="13"/>
        <v/>
      </c>
      <c r="AB40" s="20" t="str">
        <f t="shared" ca="1" si="13"/>
        <v/>
      </c>
      <c r="AC40" s="20" t="str">
        <f t="shared" ca="1" si="13"/>
        <v/>
      </c>
      <c r="AD40" s="20" t="str">
        <f t="shared" ca="1" si="13"/>
        <v/>
      </c>
      <c r="AE40" s="20" t="str">
        <f t="shared" ca="1" si="13"/>
        <v/>
      </c>
      <c r="AF40" s="20" t="str">
        <f t="shared" ca="1" si="13"/>
        <v/>
      </c>
      <c r="AG40" s="20" t="str">
        <f t="shared" ca="1" si="13"/>
        <v/>
      </c>
      <c r="AH40" s="20" t="str">
        <f t="shared" ca="1" si="14"/>
        <v/>
      </c>
      <c r="AI40" s="20" t="str">
        <f t="shared" ca="1" si="14"/>
        <v/>
      </c>
      <c r="AJ40" s="20" t="str">
        <f t="shared" ca="1" si="14"/>
        <v/>
      </c>
      <c r="AK40" s="20" t="str">
        <f t="shared" ca="1" si="14"/>
        <v/>
      </c>
      <c r="AL40" s="20" t="str">
        <f t="shared" ca="1" si="14"/>
        <v/>
      </c>
      <c r="AM40" s="20" t="str">
        <f t="shared" ca="1" si="14"/>
        <v/>
      </c>
      <c r="AN40" s="20" t="str">
        <f t="shared" ca="1" si="14"/>
        <v/>
      </c>
      <c r="AO40" s="20" t="str">
        <f t="shared" ca="1" si="14"/>
        <v/>
      </c>
      <c r="AP40" s="20" t="str">
        <f t="shared" ca="1" si="14"/>
        <v/>
      </c>
      <c r="AQ40" s="20" t="str">
        <f t="shared" ca="1" si="14"/>
        <v/>
      </c>
      <c r="AR40" s="20" t="str">
        <f t="shared" ca="1" si="15"/>
        <v/>
      </c>
      <c r="AS40" s="20" t="str">
        <f t="shared" ca="1" si="15"/>
        <v/>
      </c>
      <c r="AT40" s="20" t="str">
        <f t="shared" ca="1" si="15"/>
        <v/>
      </c>
      <c r="AU40" s="20" t="str">
        <f t="shared" ca="1" si="15"/>
        <v/>
      </c>
      <c r="AV40" s="20" t="str">
        <f t="shared" ca="1" si="15"/>
        <v/>
      </c>
      <c r="AW40" s="20" t="str">
        <f t="shared" ca="1" si="15"/>
        <v/>
      </c>
      <c r="AX40" s="21" t="s">
        <v>147</v>
      </c>
    </row>
    <row r="41" spans="1:50" x14ac:dyDescent="0.2">
      <c r="A41" s="15" t="s">
        <v>148</v>
      </c>
      <c r="B41" s="15" t="s">
        <v>125</v>
      </c>
      <c r="C41" s="15" t="s">
        <v>149</v>
      </c>
      <c r="D41" s="24" t="s">
        <v>53</v>
      </c>
      <c r="E41" s="15">
        <v>1</v>
      </c>
      <c r="F41" s="15">
        <v>1</v>
      </c>
      <c r="G41" s="15" t="s">
        <v>144</v>
      </c>
      <c r="H41" s="17">
        <v>46315</v>
      </c>
      <c r="I41" s="17">
        <f>WORKDAY(H41,E41-1,Holidays!$A$2:$A$40)</f>
        <v>46315</v>
      </c>
      <c r="J41" s="18"/>
      <c r="K41" s="18"/>
      <c r="L41" s="19" t="s">
        <v>68</v>
      </c>
      <c r="M41" s="15" t="str">
        <f>IF(OR(K41="",I41=""),"",IF(K41&gt;=I41,NETWORKDAYS(I41,K41,Holidays!$A$2:$A$40)-1,-(NETWORKDAYS(K41,I41,Holidays!$A$2:$A$40)-1)))</f>
        <v/>
      </c>
      <c r="N41" s="20" t="str">
        <f t="shared" ca="1" si="12"/>
        <v/>
      </c>
      <c r="O41" s="20" t="str">
        <f t="shared" ca="1" si="12"/>
        <v/>
      </c>
      <c r="P41" s="20" t="str">
        <f t="shared" ca="1" si="12"/>
        <v/>
      </c>
      <c r="Q41" s="20" t="str">
        <f t="shared" ca="1" si="12"/>
        <v/>
      </c>
      <c r="R41" s="20" t="str">
        <f t="shared" ca="1" si="12"/>
        <v/>
      </c>
      <c r="S41" s="20" t="str">
        <f t="shared" ca="1" si="12"/>
        <v/>
      </c>
      <c r="T41" s="20" t="str">
        <f t="shared" ca="1" si="12"/>
        <v/>
      </c>
      <c r="U41" s="20" t="str">
        <f t="shared" ca="1" si="12"/>
        <v/>
      </c>
      <c r="V41" s="20" t="str">
        <f t="shared" ca="1" si="12"/>
        <v/>
      </c>
      <c r="W41" s="20" t="str">
        <f t="shared" ca="1" si="12"/>
        <v/>
      </c>
      <c r="X41" s="20" t="str">
        <f t="shared" ca="1" si="13"/>
        <v/>
      </c>
      <c r="Y41" s="20" t="str">
        <f t="shared" ca="1" si="13"/>
        <v/>
      </c>
      <c r="Z41" s="20" t="str">
        <f t="shared" ca="1" si="13"/>
        <v/>
      </c>
      <c r="AA41" s="20" t="str">
        <f t="shared" ca="1" si="13"/>
        <v/>
      </c>
      <c r="AB41" s="20" t="str">
        <f t="shared" ca="1" si="13"/>
        <v/>
      </c>
      <c r="AC41" s="20" t="str">
        <f t="shared" ca="1" si="13"/>
        <v/>
      </c>
      <c r="AD41" s="20" t="str">
        <f t="shared" ca="1" si="13"/>
        <v/>
      </c>
      <c r="AE41" s="20" t="str">
        <f t="shared" ca="1" si="13"/>
        <v/>
      </c>
      <c r="AF41" s="20" t="str">
        <f t="shared" ca="1" si="13"/>
        <v/>
      </c>
      <c r="AG41" s="20" t="str">
        <f t="shared" ca="1" si="13"/>
        <v/>
      </c>
      <c r="AH41" s="20" t="str">
        <f t="shared" ca="1" si="14"/>
        <v/>
      </c>
      <c r="AI41" s="20" t="str">
        <f t="shared" ca="1" si="14"/>
        <v/>
      </c>
      <c r="AJ41" s="20" t="str">
        <f t="shared" ca="1" si="14"/>
        <v/>
      </c>
      <c r="AK41" s="20" t="str">
        <f t="shared" ca="1" si="14"/>
        <v/>
      </c>
      <c r="AL41" s="20" t="str">
        <f t="shared" ca="1" si="14"/>
        <v/>
      </c>
      <c r="AM41" s="20" t="str">
        <f t="shared" ca="1" si="14"/>
        <v/>
      </c>
      <c r="AN41" s="20" t="str">
        <f t="shared" ca="1" si="14"/>
        <v/>
      </c>
      <c r="AO41" s="20" t="str">
        <f t="shared" ca="1" si="14"/>
        <v/>
      </c>
      <c r="AP41" s="20" t="str">
        <f t="shared" ca="1" si="14"/>
        <v/>
      </c>
      <c r="AQ41" s="20" t="str">
        <f t="shared" ca="1" si="14"/>
        <v/>
      </c>
      <c r="AR41" s="20" t="str">
        <f t="shared" ca="1" si="15"/>
        <v/>
      </c>
      <c r="AS41" s="20" t="str">
        <f t="shared" ca="1" si="15"/>
        <v/>
      </c>
      <c r="AT41" s="20" t="str">
        <f t="shared" ca="1" si="15"/>
        <v/>
      </c>
      <c r="AU41" s="20" t="str">
        <f t="shared" ca="1" si="15"/>
        <v/>
      </c>
      <c r="AV41" s="20" t="str">
        <f t="shared" ca="1" si="15"/>
        <v/>
      </c>
      <c r="AW41" s="20" t="str">
        <f t="shared" ca="1" si="15"/>
        <v/>
      </c>
      <c r="AX41" s="21" t="s">
        <v>150</v>
      </c>
    </row>
    <row r="42" spans="1:50" x14ac:dyDescent="0.2">
      <c r="A42" s="15" t="s">
        <v>151</v>
      </c>
      <c r="B42" s="15" t="s">
        <v>125</v>
      </c>
      <c r="C42" s="15" t="s">
        <v>152</v>
      </c>
      <c r="D42" s="22" t="s">
        <v>44</v>
      </c>
      <c r="E42" s="15">
        <v>1</v>
      </c>
      <c r="F42" s="15">
        <v>1</v>
      </c>
      <c r="G42" s="15" t="s">
        <v>153</v>
      </c>
      <c r="H42" s="17">
        <v>46316</v>
      </c>
      <c r="I42" s="17">
        <f>WORKDAY(H42,E42-1,Holidays!$A$2:$A$40)</f>
        <v>46316</v>
      </c>
      <c r="J42" s="18"/>
      <c r="K42" s="18"/>
      <c r="L42" s="19" t="s">
        <v>68</v>
      </c>
      <c r="M42" s="15" t="str">
        <f>IF(OR(K42="",I42=""),"",IF(K42&gt;=I42,NETWORKDAYS(I42,K42,Holidays!$A$2:$A$40)-1,-(NETWORKDAYS(K42,I42,Holidays!$A$2:$A$40)-1)))</f>
        <v/>
      </c>
      <c r="N42" s="20" t="str">
        <f t="shared" ca="1" si="12"/>
        <v/>
      </c>
      <c r="O42" s="20" t="str">
        <f t="shared" ca="1" si="12"/>
        <v/>
      </c>
      <c r="P42" s="20" t="str">
        <f t="shared" ca="1" si="12"/>
        <v/>
      </c>
      <c r="Q42" s="20" t="str">
        <f t="shared" ca="1" si="12"/>
        <v/>
      </c>
      <c r="R42" s="20" t="str">
        <f t="shared" ca="1" si="12"/>
        <v/>
      </c>
      <c r="S42" s="20" t="str">
        <f t="shared" ca="1" si="12"/>
        <v/>
      </c>
      <c r="T42" s="20" t="str">
        <f t="shared" ca="1" si="12"/>
        <v/>
      </c>
      <c r="U42" s="20" t="str">
        <f t="shared" ca="1" si="12"/>
        <v/>
      </c>
      <c r="V42" s="20" t="str">
        <f t="shared" ca="1" si="12"/>
        <v/>
      </c>
      <c r="W42" s="20" t="str">
        <f t="shared" ca="1" si="12"/>
        <v/>
      </c>
      <c r="X42" s="20" t="str">
        <f t="shared" ca="1" si="13"/>
        <v/>
      </c>
      <c r="Y42" s="20" t="str">
        <f t="shared" ca="1" si="13"/>
        <v/>
      </c>
      <c r="Z42" s="20" t="str">
        <f t="shared" ca="1" si="13"/>
        <v/>
      </c>
      <c r="AA42" s="20" t="str">
        <f t="shared" ca="1" si="13"/>
        <v/>
      </c>
      <c r="AB42" s="20" t="str">
        <f t="shared" ca="1" si="13"/>
        <v/>
      </c>
      <c r="AC42" s="20" t="str">
        <f t="shared" ca="1" si="13"/>
        <v/>
      </c>
      <c r="AD42" s="20" t="str">
        <f t="shared" ca="1" si="13"/>
        <v/>
      </c>
      <c r="AE42" s="20" t="str">
        <f t="shared" ca="1" si="13"/>
        <v/>
      </c>
      <c r="AF42" s="20" t="str">
        <f t="shared" ca="1" si="13"/>
        <v/>
      </c>
      <c r="AG42" s="20" t="str">
        <f t="shared" ca="1" si="13"/>
        <v/>
      </c>
      <c r="AH42" s="20" t="str">
        <f t="shared" ca="1" si="14"/>
        <v/>
      </c>
      <c r="AI42" s="20" t="str">
        <f t="shared" ca="1" si="14"/>
        <v/>
      </c>
      <c r="AJ42" s="20" t="str">
        <f t="shared" ca="1" si="14"/>
        <v/>
      </c>
      <c r="AK42" s="20" t="str">
        <f t="shared" ca="1" si="14"/>
        <v/>
      </c>
      <c r="AL42" s="20" t="str">
        <f t="shared" ca="1" si="14"/>
        <v/>
      </c>
      <c r="AM42" s="20" t="str">
        <f t="shared" ca="1" si="14"/>
        <v/>
      </c>
      <c r="AN42" s="20" t="str">
        <f t="shared" ca="1" si="14"/>
        <v/>
      </c>
      <c r="AO42" s="20" t="str">
        <f t="shared" ca="1" si="14"/>
        <v/>
      </c>
      <c r="AP42" s="20" t="str">
        <f t="shared" ca="1" si="14"/>
        <v/>
      </c>
      <c r="AQ42" s="20" t="str">
        <f t="shared" ca="1" si="14"/>
        <v/>
      </c>
      <c r="AR42" s="20" t="str">
        <f t="shared" ca="1" si="15"/>
        <v/>
      </c>
      <c r="AS42" s="20" t="str">
        <f t="shared" ca="1" si="15"/>
        <v/>
      </c>
      <c r="AT42" s="20" t="str">
        <f t="shared" ca="1" si="15"/>
        <v/>
      </c>
      <c r="AU42" s="20" t="str">
        <f t="shared" ca="1" si="15"/>
        <v/>
      </c>
      <c r="AV42" s="20" t="str">
        <f t="shared" ca="1" si="15"/>
        <v/>
      </c>
      <c r="AW42" s="20" t="str">
        <f t="shared" ca="1" si="15"/>
        <v/>
      </c>
      <c r="AX42" s="21" t="s">
        <v>154</v>
      </c>
    </row>
    <row r="43" spans="1:50" x14ac:dyDescent="0.2">
      <c r="A43" s="15" t="s">
        <v>155</v>
      </c>
      <c r="B43" s="15" t="s">
        <v>125</v>
      </c>
      <c r="C43" s="15" t="s">
        <v>156</v>
      </c>
      <c r="D43" s="29" t="s">
        <v>82</v>
      </c>
      <c r="E43" s="15">
        <v>1</v>
      </c>
      <c r="F43" s="15">
        <v>1</v>
      </c>
      <c r="G43" s="15" t="s">
        <v>130</v>
      </c>
      <c r="H43" s="17">
        <v>46315</v>
      </c>
      <c r="I43" s="17">
        <f>WORKDAY(H43,E43-1,Holidays!$A$2:$A$40)</f>
        <v>46315</v>
      </c>
      <c r="J43" s="18"/>
      <c r="K43" s="18"/>
      <c r="L43" s="19" t="s">
        <v>68</v>
      </c>
      <c r="M43" s="15" t="str">
        <f>IF(OR(K43="",I43=""),"",IF(K43&gt;=I43,NETWORKDAYS(I43,K43,Holidays!$A$2:$A$40)-1,-(NETWORKDAYS(K43,I43,Holidays!$A$2:$A$40)-1)))</f>
        <v/>
      </c>
      <c r="N43" s="20" t="str">
        <f t="shared" ca="1" si="12"/>
        <v/>
      </c>
      <c r="O43" s="20" t="str">
        <f t="shared" ca="1" si="12"/>
        <v/>
      </c>
      <c r="P43" s="20" t="str">
        <f t="shared" ca="1" si="12"/>
        <v/>
      </c>
      <c r="Q43" s="20" t="str">
        <f t="shared" ca="1" si="12"/>
        <v/>
      </c>
      <c r="R43" s="20" t="str">
        <f t="shared" ca="1" si="12"/>
        <v/>
      </c>
      <c r="S43" s="20" t="str">
        <f t="shared" ca="1" si="12"/>
        <v/>
      </c>
      <c r="T43" s="20" t="str">
        <f t="shared" ca="1" si="12"/>
        <v/>
      </c>
      <c r="U43" s="20" t="str">
        <f t="shared" ca="1" si="12"/>
        <v/>
      </c>
      <c r="V43" s="20" t="str">
        <f t="shared" ca="1" si="12"/>
        <v/>
      </c>
      <c r="W43" s="20" t="str">
        <f t="shared" ca="1" si="12"/>
        <v/>
      </c>
      <c r="X43" s="20" t="str">
        <f t="shared" ca="1" si="13"/>
        <v/>
      </c>
      <c r="Y43" s="20" t="str">
        <f t="shared" ca="1" si="13"/>
        <v/>
      </c>
      <c r="Z43" s="20" t="str">
        <f t="shared" ca="1" si="13"/>
        <v/>
      </c>
      <c r="AA43" s="20" t="str">
        <f t="shared" ca="1" si="13"/>
        <v/>
      </c>
      <c r="AB43" s="20" t="str">
        <f t="shared" ca="1" si="13"/>
        <v/>
      </c>
      <c r="AC43" s="20" t="str">
        <f t="shared" ca="1" si="13"/>
        <v/>
      </c>
      <c r="AD43" s="20" t="str">
        <f t="shared" ca="1" si="13"/>
        <v/>
      </c>
      <c r="AE43" s="20" t="str">
        <f t="shared" ca="1" si="13"/>
        <v/>
      </c>
      <c r="AF43" s="20" t="str">
        <f t="shared" ca="1" si="13"/>
        <v/>
      </c>
      <c r="AG43" s="20" t="str">
        <f t="shared" ca="1" si="13"/>
        <v/>
      </c>
      <c r="AH43" s="20" t="str">
        <f t="shared" ca="1" si="14"/>
        <v/>
      </c>
      <c r="AI43" s="20" t="str">
        <f t="shared" ca="1" si="14"/>
        <v/>
      </c>
      <c r="AJ43" s="20" t="str">
        <f t="shared" ca="1" si="14"/>
        <v/>
      </c>
      <c r="AK43" s="20" t="str">
        <f t="shared" ca="1" si="14"/>
        <v/>
      </c>
      <c r="AL43" s="20" t="str">
        <f t="shared" ca="1" si="14"/>
        <v/>
      </c>
      <c r="AM43" s="20" t="str">
        <f t="shared" ca="1" si="14"/>
        <v/>
      </c>
      <c r="AN43" s="20" t="str">
        <f t="shared" ca="1" si="14"/>
        <v/>
      </c>
      <c r="AO43" s="20" t="str">
        <f t="shared" ca="1" si="14"/>
        <v/>
      </c>
      <c r="AP43" s="20" t="str">
        <f t="shared" ca="1" si="14"/>
        <v/>
      </c>
      <c r="AQ43" s="20" t="str">
        <f t="shared" ca="1" si="14"/>
        <v/>
      </c>
      <c r="AR43" s="20" t="str">
        <f t="shared" ca="1" si="15"/>
        <v/>
      </c>
      <c r="AS43" s="20" t="str">
        <f t="shared" ca="1" si="15"/>
        <v/>
      </c>
      <c r="AT43" s="20" t="str">
        <f t="shared" ca="1" si="15"/>
        <v/>
      </c>
      <c r="AU43" s="20" t="str">
        <f t="shared" ca="1" si="15"/>
        <v/>
      </c>
      <c r="AV43" s="20" t="str">
        <f t="shared" ca="1" si="15"/>
        <v/>
      </c>
      <c r="AW43" s="20" t="str">
        <f t="shared" ca="1" si="15"/>
        <v/>
      </c>
      <c r="AX43" s="21" t="s">
        <v>157</v>
      </c>
    </row>
    <row r="44" spans="1:50" x14ac:dyDescent="0.2">
      <c r="A44" s="36" t="s">
        <v>158</v>
      </c>
      <c r="B44" s="37" t="s">
        <v>158</v>
      </c>
      <c r="C44" s="37" t="s">
        <v>159</v>
      </c>
      <c r="D44" s="37"/>
      <c r="E44" s="37">
        <f>NETWORKDAYS(H44,I44,Holidays!$A$2:$A$40)</f>
        <v>11</v>
      </c>
      <c r="F44" s="37"/>
      <c r="G44" s="37"/>
      <c r="H44" s="38">
        <f>MIN(H45:H60)</f>
        <v>46315</v>
      </c>
      <c r="I44" s="38">
        <f>MAX(I45:I60)</f>
        <v>46329</v>
      </c>
      <c r="J44" s="37"/>
      <c r="K44" s="37"/>
      <c r="L44" s="37"/>
      <c r="M44" s="37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50" x14ac:dyDescent="0.2">
      <c r="A45" s="15" t="s">
        <v>160</v>
      </c>
      <c r="B45" s="15" t="s">
        <v>158</v>
      </c>
      <c r="C45" s="15" t="s">
        <v>161</v>
      </c>
      <c r="D45" s="24" t="s">
        <v>53</v>
      </c>
      <c r="E45" s="15">
        <v>2</v>
      </c>
      <c r="F45" s="15">
        <v>2</v>
      </c>
      <c r="G45" s="15" t="s">
        <v>109</v>
      </c>
      <c r="H45" s="17">
        <v>46316</v>
      </c>
      <c r="I45" s="17">
        <f>WORKDAY(H45,E45-1,Holidays!$A$2:$A$40)</f>
        <v>46317</v>
      </c>
      <c r="J45" s="18"/>
      <c r="K45" s="18"/>
      <c r="L45" s="19" t="s">
        <v>68</v>
      </c>
      <c r="M45" s="15" t="str">
        <f>IF(OR(K45="",I45=""),"",IF(K45&gt;=I45,NETWORKDAYS(I45,K45,Holidays!$A$2:$A$40)-1,-(NETWORKDAYS(K45,I45,Holidays!$A$2:$A$40)-1)))</f>
        <v/>
      </c>
      <c r="N45" s="20" t="str">
        <f t="shared" ref="N45:W54" ca="1" si="16">IF(AND($J45&lt;&gt;"",N$4&gt;=$J45,N$4&lt;=IF($K45="",TODAY(),$K45),N$65=0),"●","")</f>
        <v/>
      </c>
      <c r="O45" s="20" t="str">
        <f t="shared" ca="1" si="16"/>
        <v/>
      </c>
      <c r="P45" s="20" t="str">
        <f t="shared" ca="1" si="16"/>
        <v/>
      </c>
      <c r="Q45" s="20" t="str">
        <f t="shared" ca="1" si="16"/>
        <v/>
      </c>
      <c r="R45" s="20" t="str">
        <f t="shared" ca="1" si="16"/>
        <v/>
      </c>
      <c r="S45" s="20" t="str">
        <f t="shared" ca="1" si="16"/>
        <v/>
      </c>
      <c r="T45" s="20" t="str">
        <f t="shared" ca="1" si="16"/>
        <v/>
      </c>
      <c r="U45" s="20" t="str">
        <f t="shared" ca="1" si="16"/>
        <v/>
      </c>
      <c r="V45" s="20" t="str">
        <f t="shared" ca="1" si="16"/>
        <v/>
      </c>
      <c r="W45" s="20" t="str">
        <f t="shared" ca="1" si="16"/>
        <v/>
      </c>
      <c r="X45" s="20" t="str">
        <f t="shared" ref="X45:AG54" ca="1" si="17">IF(AND($J45&lt;&gt;"",X$4&gt;=$J45,X$4&lt;=IF($K45="",TODAY(),$K45),X$65=0),"●","")</f>
        <v/>
      </c>
      <c r="Y45" s="20" t="str">
        <f t="shared" ca="1" si="17"/>
        <v/>
      </c>
      <c r="Z45" s="20" t="str">
        <f t="shared" ca="1" si="17"/>
        <v/>
      </c>
      <c r="AA45" s="20" t="str">
        <f t="shared" ca="1" si="17"/>
        <v/>
      </c>
      <c r="AB45" s="20" t="str">
        <f t="shared" ca="1" si="17"/>
        <v/>
      </c>
      <c r="AC45" s="20" t="str">
        <f t="shared" ca="1" si="17"/>
        <v/>
      </c>
      <c r="AD45" s="20" t="str">
        <f t="shared" ca="1" si="17"/>
        <v/>
      </c>
      <c r="AE45" s="20" t="str">
        <f t="shared" ca="1" si="17"/>
        <v/>
      </c>
      <c r="AF45" s="20" t="str">
        <f t="shared" ca="1" si="17"/>
        <v/>
      </c>
      <c r="AG45" s="20" t="str">
        <f t="shared" ca="1" si="17"/>
        <v/>
      </c>
      <c r="AH45" s="20" t="str">
        <f t="shared" ref="AH45:AQ54" ca="1" si="18">IF(AND($J45&lt;&gt;"",AH$4&gt;=$J45,AH$4&lt;=IF($K45="",TODAY(),$K45),AH$65=0),"●","")</f>
        <v/>
      </c>
      <c r="AI45" s="20" t="str">
        <f t="shared" ca="1" si="18"/>
        <v/>
      </c>
      <c r="AJ45" s="20" t="str">
        <f t="shared" ca="1" si="18"/>
        <v/>
      </c>
      <c r="AK45" s="20" t="str">
        <f t="shared" ca="1" si="18"/>
        <v/>
      </c>
      <c r="AL45" s="20" t="str">
        <f t="shared" ca="1" si="18"/>
        <v/>
      </c>
      <c r="AM45" s="20" t="str">
        <f t="shared" ca="1" si="18"/>
        <v/>
      </c>
      <c r="AN45" s="20" t="str">
        <f t="shared" ca="1" si="18"/>
        <v/>
      </c>
      <c r="AO45" s="20" t="str">
        <f t="shared" ca="1" si="18"/>
        <v/>
      </c>
      <c r="AP45" s="20" t="str">
        <f t="shared" ca="1" si="18"/>
        <v/>
      </c>
      <c r="AQ45" s="20" t="str">
        <f t="shared" ca="1" si="18"/>
        <v/>
      </c>
      <c r="AR45" s="20" t="str">
        <f t="shared" ref="AR45:AW54" ca="1" si="19">IF(AND($J45&lt;&gt;"",AR$4&gt;=$J45,AR$4&lt;=IF($K45="",TODAY(),$K45),AR$65=0),"●","")</f>
        <v/>
      </c>
      <c r="AS45" s="20" t="str">
        <f t="shared" ca="1" si="19"/>
        <v/>
      </c>
      <c r="AT45" s="20" t="str">
        <f t="shared" ca="1" si="19"/>
        <v/>
      </c>
      <c r="AU45" s="20" t="str">
        <f t="shared" ca="1" si="19"/>
        <v/>
      </c>
      <c r="AV45" s="20" t="str">
        <f t="shared" ca="1" si="19"/>
        <v/>
      </c>
      <c r="AW45" s="20" t="str">
        <f t="shared" ca="1" si="19"/>
        <v/>
      </c>
      <c r="AX45" s="21" t="s">
        <v>162</v>
      </c>
    </row>
    <row r="46" spans="1:50" x14ac:dyDescent="0.2">
      <c r="A46" s="15" t="s">
        <v>163</v>
      </c>
      <c r="B46" s="15" t="s">
        <v>158</v>
      </c>
      <c r="C46" s="15" t="s">
        <v>164</v>
      </c>
      <c r="D46" s="29" t="s">
        <v>82</v>
      </c>
      <c r="E46" s="15">
        <v>2</v>
      </c>
      <c r="F46" s="15">
        <v>2</v>
      </c>
      <c r="G46" s="15" t="s">
        <v>165</v>
      </c>
      <c r="H46" s="17">
        <v>46316</v>
      </c>
      <c r="I46" s="17">
        <f>WORKDAY(H46,E46-1,Holidays!$A$2:$A$40)</f>
        <v>46317</v>
      </c>
      <c r="J46" s="18"/>
      <c r="K46" s="18"/>
      <c r="L46" s="19" t="s">
        <v>68</v>
      </c>
      <c r="M46" s="15" t="str">
        <f>IF(OR(K46="",I46=""),"",IF(K46&gt;=I46,NETWORKDAYS(I46,K46,Holidays!$A$2:$A$40)-1,-(NETWORKDAYS(K46,I46,Holidays!$A$2:$A$40)-1)))</f>
        <v/>
      </c>
      <c r="N46" s="20" t="str">
        <f t="shared" ca="1" si="16"/>
        <v/>
      </c>
      <c r="O46" s="20" t="str">
        <f t="shared" ca="1" si="16"/>
        <v/>
      </c>
      <c r="P46" s="20" t="str">
        <f t="shared" ca="1" si="16"/>
        <v/>
      </c>
      <c r="Q46" s="20" t="str">
        <f t="shared" ca="1" si="16"/>
        <v/>
      </c>
      <c r="R46" s="20" t="str">
        <f t="shared" ca="1" si="16"/>
        <v/>
      </c>
      <c r="S46" s="20" t="str">
        <f t="shared" ca="1" si="16"/>
        <v/>
      </c>
      <c r="T46" s="20" t="str">
        <f t="shared" ca="1" si="16"/>
        <v/>
      </c>
      <c r="U46" s="20" t="str">
        <f t="shared" ca="1" si="16"/>
        <v/>
      </c>
      <c r="V46" s="20" t="str">
        <f t="shared" ca="1" si="16"/>
        <v/>
      </c>
      <c r="W46" s="20" t="str">
        <f t="shared" ca="1" si="16"/>
        <v/>
      </c>
      <c r="X46" s="20" t="str">
        <f t="shared" ca="1" si="17"/>
        <v/>
      </c>
      <c r="Y46" s="20" t="str">
        <f t="shared" ca="1" si="17"/>
        <v/>
      </c>
      <c r="Z46" s="20" t="str">
        <f t="shared" ca="1" si="17"/>
        <v/>
      </c>
      <c r="AA46" s="20" t="str">
        <f t="shared" ca="1" si="17"/>
        <v/>
      </c>
      <c r="AB46" s="20" t="str">
        <f t="shared" ca="1" si="17"/>
        <v/>
      </c>
      <c r="AC46" s="20" t="str">
        <f t="shared" ca="1" si="17"/>
        <v/>
      </c>
      <c r="AD46" s="20" t="str">
        <f t="shared" ca="1" si="17"/>
        <v/>
      </c>
      <c r="AE46" s="20" t="str">
        <f t="shared" ca="1" si="17"/>
        <v/>
      </c>
      <c r="AF46" s="20" t="str">
        <f t="shared" ca="1" si="17"/>
        <v/>
      </c>
      <c r="AG46" s="20" t="str">
        <f t="shared" ca="1" si="17"/>
        <v/>
      </c>
      <c r="AH46" s="20" t="str">
        <f t="shared" ca="1" si="18"/>
        <v/>
      </c>
      <c r="AI46" s="20" t="str">
        <f t="shared" ca="1" si="18"/>
        <v/>
      </c>
      <c r="AJ46" s="20" t="str">
        <f t="shared" ca="1" si="18"/>
        <v/>
      </c>
      <c r="AK46" s="20" t="str">
        <f t="shared" ca="1" si="18"/>
        <v/>
      </c>
      <c r="AL46" s="20" t="str">
        <f t="shared" ca="1" si="18"/>
        <v/>
      </c>
      <c r="AM46" s="20" t="str">
        <f t="shared" ca="1" si="18"/>
        <v/>
      </c>
      <c r="AN46" s="20" t="str">
        <f t="shared" ca="1" si="18"/>
        <v/>
      </c>
      <c r="AO46" s="20" t="str">
        <f t="shared" ca="1" si="18"/>
        <v/>
      </c>
      <c r="AP46" s="20" t="str">
        <f t="shared" ca="1" si="18"/>
        <v/>
      </c>
      <c r="AQ46" s="20" t="str">
        <f t="shared" ca="1" si="18"/>
        <v/>
      </c>
      <c r="AR46" s="20" t="str">
        <f t="shared" ca="1" si="19"/>
        <v/>
      </c>
      <c r="AS46" s="20" t="str">
        <f t="shared" ca="1" si="19"/>
        <v/>
      </c>
      <c r="AT46" s="20" t="str">
        <f t="shared" ca="1" si="19"/>
        <v/>
      </c>
      <c r="AU46" s="20" t="str">
        <f t="shared" ca="1" si="19"/>
        <v/>
      </c>
      <c r="AV46" s="20" t="str">
        <f t="shared" ca="1" si="19"/>
        <v/>
      </c>
      <c r="AW46" s="20" t="str">
        <f t="shared" ca="1" si="19"/>
        <v/>
      </c>
      <c r="AX46" s="21" t="s">
        <v>166</v>
      </c>
    </row>
    <row r="47" spans="1:50" x14ac:dyDescent="0.2">
      <c r="A47" s="15" t="s">
        <v>167</v>
      </c>
      <c r="B47" s="15" t="s">
        <v>158</v>
      </c>
      <c r="C47" s="15" t="s">
        <v>168</v>
      </c>
      <c r="D47" s="16" t="s">
        <v>39</v>
      </c>
      <c r="E47" s="15">
        <v>2</v>
      </c>
      <c r="F47" s="15">
        <v>2</v>
      </c>
      <c r="G47" s="15" t="s">
        <v>130</v>
      </c>
      <c r="H47" s="17">
        <v>46315</v>
      </c>
      <c r="I47" s="17">
        <f>WORKDAY(H47,E47-1,Holidays!$A$2:$A$40)</f>
        <v>46316</v>
      </c>
      <c r="J47" s="18"/>
      <c r="K47" s="18"/>
      <c r="L47" s="19" t="s">
        <v>68</v>
      </c>
      <c r="M47" s="15" t="str">
        <f>IF(OR(K47="",I47=""),"",IF(K47&gt;=I47,NETWORKDAYS(I47,K47,Holidays!$A$2:$A$40)-1,-(NETWORKDAYS(K47,I47,Holidays!$A$2:$A$40)-1)))</f>
        <v/>
      </c>
      <c r="N47" s="20" t="str">
        <f t="shared" ca="1" si="16"/>
        <v/>
      </c>
      <c r="O47" s="20" t="str">
        <f t="shared" ca="1" si="16"/>
        <v/>
      </c>
      <c r="P47" s="20" t="str">
        <f t="shared" ca="1" si="16"/>
        <v/>
      </c>
      <c r="Q47" s="20" t="str">
        <f t="shared" ca="1" si="16"/>
        <v/>
      </c>
      <c r="R47" s="20" t="str">
        <f t="shared" ca="1" si="16"/>
        <v/>
      </c>
      <c r="S47" s="20" t="str">
        <f t="shared" ca="1" si="16"/>
        <v/>
      </c>
      <c r="T47" s="20" t="str">
        <f t="shared" ca="1" si="16"/>
        <v/>
      </c>
      <c r="U47" s="20" t="str">
        <f t="shared" ca="1" si="16"/>
        <v/>
      </c>
      <c r="V47" s="20" t="str">
        <f t="shared" ca="1" si="16"/>
        <v/>
      </c>
      <c r="W47" s="20" t="str">
        <f t="shared" ca="1" si="16"/>
        <v/>
      </c>
      <c r="X47" s="20" t="str">
        <f t="shared" ca="1" si="17"/>
        <v/>
      </c>
      <c r="Y47" s="20" t="str">
        <f t="shared" ca="1" si="17"/>
        <v/>
      </c>
      <c r="Z47" s="20" t="str">
        <f t="shared" ca="1" si="17"/>
        <v/>
      </c>
      <c r="AA47" s="20" t="str">
        <f t="shared" ca="1" si="17"/>
        <v/>
      </c>
      <c r="AB47" s="20" t="str">
        <f t="shared" ca="1" si="17"/>
        <v/>
      </c>
      <c r="AC47" s="20" t="str">
        <f t="shared" ca="1" si="17"/>
        <v/>
      </c>
      <c r="AD47" s="20" t="str">
        <f t="shared" ca="1" si="17"/>
        <v/>
      </c>
      <c r="AE47" s="20" t="str">
        <f t="shared" ca="1" si="17"/>
        <v/>
      </c>
      <c r="AF47" s="20" t="str">
        <f t="shared" ca="1" si="17"/>
        <v/>
      </c>
      <c r="AG47" s="20" t="str">
        <f t="shared" ca="1" si="17"/>
        <v/>
      </c>
      <c r="AH47" s="20" t="str">
        <f t="shared" ca="1" si="18"/>
        <v/>
      </c>
      <c r="AI47" s="20" t="str">
        <f t="shared" ca="1" si="18"/>
        <v/>
      </c>
      <c r="AJ47" s="20" t="str">
        <f t="shared" ca="1" si="18"/>
        <v/>
      </c>
      <c r="AK47" s="20" t="str">
        <f t="shared" ca="1" si="18"/>
        <v/>
      </c>
      <c r="AL47" s="20" t="str">
        <f t="shared" ca="1" si="18"/>
        <v/>
      </c>
      <c r="AM47" s="20" t="str">
        <f t="shared" ca="1" si="18"/>
        <v/>
      </c>
      <c r="AN47" s="20" t="str">
        <f t="shared" ca="1" si="18"/>
        <v/>
      </c>
      <c r="AO47" s="20" t="str">
        <f t="shared" ca="1" si="18"/>
        <v/>
      </c>
      <c r="AP47" s="20" t="str">
        <f t="shared" ca="1" si="18"/>
        <v/>
      </c>
      <c r="AQ47" s="20" t="str">
        <f t="shared" ca="1" si="18"/>
        <v/>
      </c>
      <c r="AR47" s="20" t="str">
        <f t="shared" ca="1" si="19"/>
        <v/>
      </c>
      <c r="AS47" s="20" t="str">
        <f t="shared" ca="1" si="19"/>
        <v/>
      </c>
      <c r="AT47" s="20" t="str">
        <f t="shared" ca="1" si="19"/>
        <v/>
      </c>
      <c r="AU47" s="20" t="str">
        <f t="shared" ca="1" si="19"/>
        <v/>
      </c>
      <c r="AV47" s="20" t="str">
        <f t="shared" ca="1" si="19"/>
        <v/>
      </c>
      <c r="AW47" s="20" t="str">
        <f t="shared" ca="1" si="19"/>
        <v/>
      </c>
      <c r="AX47" s="21" t="s">
        <v>169</v>
      </c>
    </row>
    <row r="48" spans="1:50" x14ac:dyDescent="0.2">
      <c r="A48" s="15" t="s">
        <v>170</v>
      </c>
      <c r="B48" s="15" t="s">
        <v>158</v>
      </c>
      <c r="C48" s="15" t="s">
        <v>171</v>
      </c>
      <c r="D48" s="28" t="s">
        <v>78</v>
      </c>
      <c r="E48" s="15">
        <v>2</v>
      </c>
      <c r="F48" s="15">
        <v>2</v>
      </c>
      <c r="G48" s="15" t="s">
        <v>140</v>
      </c>
      <c r="H48" s="17">
        <v>46316</v>
      </c>
      <c r="I48" s="17">
        <f>WORKDAY(H48,E48-1,Holidays!$A$2:$A$40)</f>
        <v>46317</v>
      </c>
      <c r="J48" s="18"/>
      <c r="K48" s="18"/>
      <c r="L48" s="19" t="s">
        <v>68</v>
      </c>
      <c r="M48" s="15" t="str">
        <f>IF(OR(K48="",I48=""),"",IF(K48&gt;=I48,NETWORKDAYS(I48,K48,Holidays!$A$2:$A$40)-1,-(NETWORKDAYS(K48,I48,Holidays!$A$2:$A$40)-1)))</f>
        <v/>
      </c>
      <c r="N48" s="20" t="str">
        <f t="shared" ca="1" si="16"/>
        <v/>
      </c>
      <c r="O48" s="20" t="str">
        <f t="shared" ca="1" si="16"/>
        <v/>
      </c>
      <c r="P48" s="20" t="str">
        <f t="shared" ca="1" si="16"/>
        <v/>
      </c>
      <c r="Q48" s="20" t="str">
        <f t="shared" ca="1" si="16"/>
        <v/>
      </c>
      <c r="R48" s="20" t="str">
        <f t="shared" ca="1" si="16"/>
        <v/>
      </c>
      <c r="S48" s="20" t="str">
        <f t="shared" ca="1" si="16"/>
        <v/>
      </c>
      <c r="T48" s="20" t="str">
        <f t="shared" ca="1" si="16"/>
        <v/>
      </c>
      <c r="U48" s="20" t="str">
        <f t="shared" ca="1" si="16"/>
        <v/>
      </c>
      <c r="V48" s="20" t="str">
        <f t="shared" ca="1" si="16"/>
        <v/>
      </c>
      <c r="W48" s="20" t="str">
        <f t="shared" ca="1" si="16"/>
        <v/>
      </c>
      <c r="X48" s="20" t="str">
        <f t="shared" ca="1" si="17"/>
        <v/>
      </c>
      <c r="Y48" s="20" t="str">
        <f t="shared" ca="1" si="17"/>
        <v/>
      </c>
      <c r="Z48" s="20" t="str">
        <f t="shared" ca="1" si="17"/>
        <v/>
      </c>
      <c r="AA48" s="20" t="str">
        <f t="shared" ca="1" si="17"/>
        <v/>
      </c>
      <c r="AB48" s="20" t="str">
        <f t="shared" ca="1" si="17"/>
        <v/>
      </c>
      <c r="AC48" s="20" t="str">
        <f t="shared" ca="1" si="17"/>
        <v/>
      </c>
      <c r="AD48" s="20" t="str">
        <f t="shared" ca="1" si="17"/>
        <v/>
      </c>
      <c r="AE48" s="20" t="str">
        <f t="shared" ca="1" si="17"/>
        <v/>
      </c>
      <c r="AF48" s="20" t="str">
        <f t="shared" ca="1" si="17"/>
        <v/>
      </c>
      <c r="AG48" s="20" t="str">
        <f t="shared" ca="1" si="17"/>
        <v/>
      </c>
      <c r="AH48" s="20" t="str">
        <f t="shared" ca="1" si="18"/>
        <v/>
      </c>
      <c r="AI48" s="20" t="str">
        <f t="shared" ca="1" si="18"/>
        <v/>
      </c>
      <c r="AJ48" s="20" t="str">
        <f t="shared" ca="1" si="18"/>
        <v/>
      </c>
      <c r="AK48" s="20" t="str">
        <f t="shared" ca="1" si="18"/>
        <v/>
      </c>
      <c r="AL48" s="20" t="str">
        <f t="shared" ca="1" si="18"/>
        <v/>
      </c>
      <c r="AM48" s="20" t="str">
        <f t="shared" ca="1" si="18"/>
        <v/>
      </c>
      <c r="AN48" s="20" t="str">
        <f t="shared" ca="1" si="18"/>
        <v/>
      </c>
      <c r="AO48" s="20" t="str">
        <f t="shared" ca="1" si="18"/>
        <v/>
      </c>
      <c r="AP48" s="20" t="str">
        <f t="shared" ca="1" si="18"/>
        <v/>
      </c>
      <c r="AQ48" s="20" t="str">
        <f t="shared" ca="1" si="18"/>
        <v/>
      </c>
      <c r="AR48" s="20" t="str">
        <f t="shared" ca="1" si="19"/>
        <v/>
      </c>
      <c r="AS48" s="20" t="str">
        <f t="shared" ca="1" si="19"/>
        <v/>
      </c>
      <c r="AT48" s="20" t="str">
        <f t="shared" ca="1" si="19"/>
        <v/>
      </c>
      <c r="AU48" s="20" t="str">
        <f t="shared" ca="1" si="19"/>
        <v/>
      </c>
      <c r="AV48" s="20" t="str">
        <f t="shared" ca="1" si="19"/>
        <v/>
      </c>
      <c r="AW48" s="20" t="str">
        <f t="shared" ca="1" si="19"/>
        <v/>
      </c>
      <c r="AX48" s="21" t="s">
        <v>172</v>
      </c>
    </row>
    <row r="49" spans="1:50" x14ac:dyDescent="0.2">
      <c r="A49" s="15" t="s">
        <v>173</v>
      </c>
      <c r="B49" s="15" t="s">
        <v>158</v>
      </c>
      <c r="C49" s="15" t="s">
        <v>174</v>
      </c>
      <c r="D49" s="22" t="s">
        <v>44</v>
      </c>
      <c r="E49" s="15">
        <v>2</v>
      </c>
      <c r="F49" s="15">
        <v>2</v>
      </c>
      <c r="G49" s="15" t="s">
        <v>151</v>
      </c>
      <c r="H49" s="17">
        <v>46317</v>
      </c>
      <c r="I49" s="17">
        <f>WORKDAY(H49,E49-1,Holidays!$A$2:$A$40)</f>
        <v>46318</v>
      </c>
      <c r="J49" s="18"/>
      <c r="K49" s="18"/>
      <c r="L49" s="19" t="s">
        <v>68</v>
      </c>
      <c r="M49" s="15" t="str">
        <f>IF(OR(K49="",I49=""),"",IF(K49&gt;=I49,NETWORKDAYS(I49,K49,Holidays!$A$2:$A$40)-1,-(NETWORKDAYS(K49,I49,Holidays!$A$2:$A$40)-1)))</f>
        <v/>
      </c>
      <c r="N49" s="20" t="str">
        <f t="shared" ca="1" si="16"/>
        <v/>
      </c>
      <c r="O49" s="20" t="str">
        <f t="shared" ca="1" si="16"/>
        <v/>
      </c>
      <c r="P49" s="20" t="str">
        <f t="shared" ca="1" si="16"/>
        <v/>
      </c>
      <c r="Q49" s="20" t="str">
        <f t="shared" ca="1" si="16"/>
        <v/>
      </c>
      <c r="R49" s="20" t="str">
        <f t="shared" ca="1" si="16"/>
        <v/>
      </c>
      <c r="S49" s="20" t="str">
        <f t="shared" ca="1" si="16"/>
        <v/>
      </c>
      <c r="T49" s="20" t="str">
        <f t="shared" ca="1" si="16"/>
        <v/>
      </c>
      <c r="U49" s="20" t="str">
        <f t="shared" ca="1" si="16"/>
        <v/>
      </c>
      <c r="V49" s="20" t="str">
        <f t="shared" ca="1" si="16"/>
        <v/>
      </c>
      <c r="W49" s="20" t="str">
        <f t="shared" ca="1" si="16"/>
        <v/>
      </c>
      <c r="X49" s="20" t="str">
        <f t="shared" ca="1" si="17"/>
        <v/>
      </c>
      <c r="Y49" s="20" t="str">
        <f t="shared" ca="1" si="17"/>
        <v/>
      </c>
      <c r="Z49" s="20" t="str">
        <f t="shared" ca="1" si="17"/>
        <v/>
      </c>
      <c r="AA49" s="20" t="str">
        <f t="shared" ca="1" si="17"/>
        <v/>
      </c>
      <c r="AB49" s="20" t="str">
        <f t="shared" ca="1" si="17"/>
        <v/>
      </c>
      <c r="AC49" s="20" t="str">
        <f t="shared" ca="1" si="17"/>
        <v/>
      </c>
      <c r="AD49" s="20" t="str">
        <f t="shared" ca="1" si="17"/>
        <v/>
      </c>
      <c r="AE49" s="20" t="str">
        <f t="shared" ca="1" si="17"/>
        <v/>
      </c>
      <c r="AF49" s="20" t="str">
        <f t="shared" ca="1" si="17"/>
        <v/>
      </c>
      <c r="AG49" s="20" t="str">
        <f t="shared" ca="1" si="17"/>
        <v/>
      </c>
      <c r="AH49" s="20" t="str">
        <f t="shared" ca="1" si="18"/>
        <v/>
      </c>
      <c r="AI49" s="20" t="str">
        <f t="shared" ca="1" si="18"/>
        <v/>
      </c>
      <c r="AJ49" s="20" t="str">
        <f t="shared" ca="1" si="18"/>
        <v/>
      </c>
      <c r="AK49" s="20" t="str">
        <f t="shared" ca="1" si="18"/>
        <v/>
      </c>
      <c r="AL49" s="20" t="str">
        <f t="shared" ca="1" si="18"/>
        <v/>
      </c>
      <c r="AM49" s="20" t="str">
        <f t="shared" ca="1" si="18"/>
        <v/>
      </c>
      <c r="AN49" s="20" t="str">
        <f t="shared" ca="1" si="18"/>
        <v/>
      </c>
      <c r="AO49" s="20" t="str">
        <f t="shared" ca="1" si="18"/>
        <v/>
      </c>
      <c r="AP49" s="20" t="str">
        <f t="shared" ca="1" si="18"/>
        <v/>
      </c>
      <c r="AQ49" s="20" t="str">
        <f t="shared" ca="1" si="18"/>
        <v/>
      </c>
      <c r="AR49" s="20" t="str">
        <f t="shared" ca="1" si="19"/>
        <v/>
      </c>
      <c r="AS49" s="20" t="str">
        <f t="shared" ca="1" si="19"/>
        <v/>
      </c>
      <c r="AT49" s="20" t="str">
        <f t="shared" ca="1" si="19"/>
        <v/>
      </c>
      <c r="AU49" s="20" t="str">
        <f t="shared" ca="1" si="19"/>
        <v/>
      </c>
      <c r="AV49" s="20" t="str">
        <f t="shared" ca="1" si="19"/>
        <v/>
      </c>
      <c r="AW49" s="20" t="str">
        <f t="shared" ca="1" si="19"/>
        <v/>
      </c>
      <c r="AX49" s="21" t="s">
        <v>175</v>
      </c>
    </row>
    <row r="50" spans="1:50" x14ac:dyDescent="0.2">
      <c r="A50" s="15" t="s">
        <v>95</v>
      </c>
      <c r="B50" s="15" t="s">
        <v>158</v>
      </c>
      <c r="C50" s="15" t="s">
        <v>176</v>
      </c>
      <c r="D50" s="24" t="s">
        <v>53</v>
      </c>
      <c r="E50" s="15">
        <v>1</v>
      </c>
      <c r="F50" s="15">
        <v>1</v>
      </c>
      <c r="G50" s="15" t="s">
        <v>177</v>
      </c>
      <c r="H50" s="17">
        <v>46321</v>
      </c>
      <c r="I50" s="17">
        <f>WORKDAY(H50,E50-1,Holidays!$A$2:$A$40)</f>
        <v>46321</v>
      </c>
      <c r="J50" s="18"/>
      <c r="K50" s="18"/>
      <c r="L50" s="19" t="s">
        <v>68</v>
      </c>
      <c r="M50" s="15" t="str">
        <f>IF(OR(K50="",I50=""),"",IF(K50&gt;=I50,NETWORKDAYS(I50,K50,Holidays!$A$2:$A$40)-1,-(NETWORKDAYS(K50,I50,Holidays!$A$2:$A$40)-1)))</f>
        <v/>
      </c>
      <c r="N50" s="20" t="str">
        <f t="shared" ca="1" si="16"/>
        <v/>
      </c>
      <c r="O50" s="20" t="str">
        <f t="shared" ca="1" si="16"/>
        <v/>
      </c>
      <c r="P50" s="20" t="str">
        <f t="shared" ca="1" si="16"/>
        <v/>
      </c>
      <c r="Q50" s="20" t="str">
        <f t="shared" ca="1" si="16"/>
        <v/>
      </c>
      <c r="R50" s="20" t="str">
        <f t="shared" ca="1" si="16"/>
        <v/>
      </c>
      <c r="S50" s="20" t="str">
        <f t="shared" ca="1" si="16"/>
        <v/>
      </c>
      <c r="T50" s="20" t="str">
        <f t="shared" ca="1" si="16"/>
        <v/>
      </c>
      <c r="U50" s="20" t="str">
        <f t="shared" ca="1" si="16"/>
        <v/>
      </c>
      <c r="V50" s="20" t="str">
        <f t="shared" ca="1" si="16"/>
        <v/>
      </c>
      <c r="W50" s="20" t="str">
        <f t="shared" ca="1" si="16"/>
        <v/>
      </c>
      <c r="X50" s="20" t="str">
        <f t="shared" ca="1" si="17"/>
        <v/>
      </c>
      <c r="Y50" s="20" t="str">
        <f t="shared" ca="1" si="17"/>
        <v/>
      </c>
      <c r="Z50" s="20" t="str">
        <f t="shared" ca="1" si="17"/>
        <v/>
      </c>
      <c r="AA50" s="20" t="str">
        <f t="shared" ca="1" si="17"/>
        <v/>
      </c>
      <c r="AB50" s="20" t="str">
        <f t="shared" ca="1" si="17"/>
        <v/>
      </c>
      <c r="AC50" s="20" t="str">
        <f t="shared" ca="1" si="17"/>
        <v/>
      </c>
      <c r="AD50" s="20" t="str">
        <f t="shared" ca="1" si="17"/>
        <v/>
      </c>
      <c r="AE50" s="20" t="str">
        <f t="shared" ca="1" si="17"/>
        <v/>
      </c>
      <c r="AF50" s="20" t="str">
        <f t="shared" ca="1" si="17"/>
        <v/>
      </c>
      <c r="AG50" s="20" t="str">
        <f t="shared" ca="1" si="17"/>
        <v/>
      </c>
      <c r="AH50" s="20" t="str">
        <f t="shared" ca="1" si="18"/>
        <v/>
      </c>
      <c r="AI50" s="20" t="str">
        <f t="shared" ca="1" si="18"/>
        <v/>
      </c>
      <c r="AJ50" s="20" t="str">
        <f t="shared" ca="1" si="18"/>
        <v/>
      </c>
      <c r="AK50" s="20" t="str">
        <f t="shared" ca="1" si="18"/>
        <v/>
      </c>
      <c r="AL50" s="20" t="str">
        <f t="shared" ca="1" si="18"/>
        <v/>
      </c>
      <c r="AM50" s="20" t="str">
        <f t="shared" ca="1" si="18"/>
        <v/>
      </c>
      <c r="AN50" s="20" t="str">
        <f t="shared" ca="1" si="18"/>
        <v/>
      </c>
      <c r="AO50" s="20" t="str">
        <f t="shared" ca="1" si="18"/>
        <v/>
      </c>
      <c r="AP50" s="20" t="str">
        <f t="shared" ca="1" si="18"/>
        <v/>
      </c>
      <c r="AQ50" s="20" t="str">
        <f t="shared" ca="1" si="18"/>
        <v/>
      </c>
      <c r="AR50" s="20" t="str">
        <f t="shared" ca="1" si="19"/>
        <v/>
      </c>
      <c r="AS50" s="20" t="str">
        <f t="shared" ca="1" si="19"/>
        <v/>
      </c>
      <c r="AT50" s="20" t="str">
        <f t="shared" ca="1" si="19"/>
        <v/>
      </c>
      <c r="AU50" s="20" t="str">
        <f t="shared" ca="1" si="19"/>
        <v/>
      </c>
      <c r="AV50" s="20" t="str">
        <f t="shared" ca="1" si="19"/>
        <v/>
      </c>
      <c r="AW50" s="20" t="str">
        <f t="shared" ca="1" si="19"/>
        <v/>
      </c>
      <c r="AX50" s="21" t="s">
        <v>178</v>
      </c>
    </row>
    <row r="51" spans="1:50" x14ac:dyDescent="0.2">
      <c r="A51" s="15" t="s">
        <v>179</v>
      </c>
      <c r="B51" s="15" t="s">
        <v>158</v>
      </c>
      <c r="C51" s="15" t="s">
        <v>180</v>
      </c>
      <c r="D51" s="16" t="s">
        <v>39</v>
      </c>
      <c r="E51" s="15">
        <v>1</v>
      </c>
      <c r="F51" s="15">
        <v>1</v>
      </c>
      <c r="G51" s="15" t="s">
        <v>95</v>
      </c>
      <c r="H51" s="17">
        <v>46322</v>
      </c>
      <c r="I51" s="17">
        <f>WORKDAY(H51,E51-1,Holidays!$A$2:$A$40)</f>
        <v>46322</v>
      </c>
      <c r="J51" s="18"/>
      <c r="K51" s="18"/>
      <c r="L51" s="19" t="s">
        <v>68</v>
      </c>
      <c r="M51" s="15" t="str">
        <f>IF(OR(K51="",I51=""),"",IF(K51&gt;=I51,NETWORKDAYS(I51,K51,Holidays!$A$2:$A$40)-1,-(NETWORKDAYS(K51,I51,Holidays!$A$2:$A$40)-1)))</f>
        <v/>
      </c>
      <c r="N51" s="20" t="str">
        <f t="shared" ca="1" si="16"/>
        <v/>
      </c>
      <c r="O51" s="20" t="str">
        <f t="shared" ca="1" si="16"/>
        <v/>
      </c>
      <c r="P51" s="20" t="str">
        <f t="shared" ca="1" si="16"/>
        <v/>
      </c>
      <c r="Q51" s="20" t="str">
        <f t="shared" ca="1" si="16"/>
        <v/>
      </c>
      <c r="R51" s="20" t="str">
        <f t="shared" ca="1" si="16"/>
        <v/>
      </c>
      <c r="S51" s="20" t="str">
        <f t="shared" ca="1" si="16"/>
        <v/>
      </c>
      <c r="T51" s="20" t="str">
        <f t="shared" ca="1" si="16"/>
        <v/>
      </c>
      <c r="U51" s="20" t="str">
        <f t="shared" ca="1" si="16"/>
        <v/>
      </c>
      <c r="V51" s="20" t="str">
        <f t="shared" ca="1" si="16"/>
        <v/>
      </c>
      <c r="W51" s="20" t="str">
        <f t="shared" ca="1" si="16"/>
        <v/>
      </c>
      <c r="X51" s="20" t="str">
        <f t="shared" ca="1" si="17"/>
        <v/>
      </c>
      <c r="Y51" s="20" t="str">
        <f t="shared" ca="1" si="17"/>
        <v/>
      </c>
      <c r="Z51" s="20" t="str">
        <f t="shared" ca="1" si="17"/>
        <v/>
      </c>
      <c r="AA51" s="20" t="str">
        <f t="shared" ca="1" si="17"/>
        <v/>
      </c>
      <c r="AB51" s="20" t="str">
        <f t="shared" ca="1" si="17"/>
        <v/>
      </c>
      <c r="AC51" s="20" t="str">
        <f t="shared" ca="1" si="17"/>
        <v/>
      </c>
      <c r="AD51" s="20" t="str">
        <f t="shared" ca="1" si="17"/>
        <v/>
      </c>
      <c r="AE51" s="20" t="str">
        <f t="shared" ca="1" si="17"/>
        <v/>
      </c>
      <c r="AF51" s="20" t="str">
        <f t="shared" ca="1" si="17"/>
        <v/>
      </c>
      <c r="AG51" s="20" t="str">
        <f t="shared" ca="1" si="17"/>
        <v/>
      </c>
      <c r="AH51" s="20" t="str">
        <f t="shared" ca="1" si="18"/>
        <v/>
      </c>
      <c r="AI51" s="20" t="str">
        <f t="shared" ca="1" si="18"/>
        <v/>
      </c>
      <c r="AJ51" s="20" t="str">
        <f t="shared" ca="1" si="18"/>
        <v/>
      </c>
      <c r="AK51" s="20" t="str">
        <f t="shared" ca="1" si="18"/>
        <v/>
      </c>
      <c r="AL51" s="20" t="str">
        <f t="shared" ca="1" si="18"/>
        <v/>
      </c>
      <c r="AM51" s="20" t="str">
        <f t="shared" ca="1" si="18"/>
        <v/>
      </c>
      <c r="AN51" s="20" t="str">
        <f t="shared" ca="1" si="18"/>
        <v/>
      </c>
      <c r="AO51" s="20" t="str">
        <f t="shared" ca="1" si="18"/>
        <v/>
      </c>
      <c r="AP51" s="20" t="str">
        <f t="shared" ca="1" si="18"/>
        <v/>
      </c>
      <c r="AQ51" s="20" t="str">
        <f t="shared" ca="1" si="18"/>
        <v/>
      </c>
      <c r="AR51" s="20" t="str">
        <f t="shared" ca="1" si="19"/>
        <v/>
      </c>
      <c r="AS51" s="20" t="str">
        <f t="shared" ca="1" si="19"/>
        <v/>
      </c>
      <c r="AT51" s="20" t="str">
        <f t="shared" ca="1" si="19"/>
        <v/>
      </c>
      <c r="AU51" s="20" t="str">
        <f t="shared" ca="1" si="19"/>
        <v/>
      </c>
      <c r="AV51" s="20" t="str">
        <f t="shared" ca="1" si="19"/>
        <v/>
      </c>
      <c r="AW51" s="20" t="str">
        <f t="shared" ca="1" si="19"/>
        <v/>
      </c>
      <c r="AX51" s="21" t="s">
        <v>181</v>
      </c>
    </row>
    <row r="52" spans="1:50" x14ac:dyDescent="0.2">
      <c r="A52" s="15" t="s">
        <v>182</v>
      </c>
      <c r="B52" s="15" t="s">
        <v>158</v>
      </c>
      <c r="C52" s="15" t="s">
        <v>183</v>
      </c>
      <c r="D52" s="29" t="s">
        <v>82</v>
      </c>
      <c r="E52" s="15">
        <v>1</v>
      </c>
      <c r="F52" s="15">
        <v>1</v>
      </c>
      <c r="G52" s="15" t="s">
        <v>95</v>
      </c>
      <c r="H52" s="17">
        <v>46322</v>
      </c>
      <c r="I52" s="17">
        <f>WORKDAY(H52,E52-1,Holidays!$A$2:$A$40)</f>
        <v>46322</v>
      </c>
      <c r="J52" s="18"/>
      <c r="K52" s="18"/>
      <c r="L52" s="19" t="s">
        <v>68</v>
      </c>
      <c r="M52" s="15" t="str">
        <f>IF(OR(K52="",I52=""),"",IF(K52&gt;=I52,NETWORKDAYS(I52,K52,Holidays!$A$2:$A$40)-1,-(NETWORKDAYS(K52,I52,Holidays!$A$2:$A$40)-1)))</f>
        <v/>
      </c>
      <c r="N52" s="20" t="str">
        <f t="shared" ca="1" si="16"/>
        <v/>
      </c>
      <c r="O52" s="20" t="str">
        <f t="shared" ca="1" si="16"/>
        <v/>
      </c>
      <c r="P52" s="20" t="str">
        <f t="shared" ca="1" si="16"/>
        <v/>
      </c>
      <c r="Q52" s="20" t="str">
        <f t="shared" ca="1" si="16"/>
        <v/>
      </c>
      <c r="R52" s="20" t="str">
        <f t="shared" ca="1" si="16"/>
        <v/>
      </c>
      <c r="S52" s="20" t="str">
        <f t="shared" ca="1" si="16"/>
        <v/>
      </c>
      <c r="T52" s="20" t="str">
        <f t="shared" ca="1" si="16"/>
        <v/>
      </c>
      <c r="U52" s="20" t="str">
        <f t="shared" ca="1" si="16"/>
        <v/>
      </c>
      <c r="V52" s="20" t="str">
        <f t="shared" ca="1" si="16"/>
        <v/>
      </c>
      <c r="W52" s="20" t="str">
        <f t="shared" ca="1" si="16"/>
        <v/>
      </c>
      <c r="X52" s="20" t="str">
        <f t="shared" ca="1" si="17"/>
        <v/>
      </c>
      <c r="Y52" s="20" t="str">
        <f t="shared" ca="1" si="17"/>
        <v/>
      </c>
      <c r="Z52" s="20" t="str">
        <f t="shared" ca="1" si="17"/>
        <v/>
      </c>
      <c r="AA52" s="20" t="str">
        <f t="shared" ca="1" si="17"/>
        <v/>
      </c>
      <c r="AB52" s="20" t="str">
        <f t="shared" ca="1" si="17"/>
        <v/>
      </c>
      <c r="AC52" s="20" t="str">
        <f t="shared" ca="1" si="17"/>
        <v/>
      </c>
      <c r="AD52" s="20" t="str">
        <f t="shared" ca="1" si="17"/>
        <v/>
      </c>
      <c r="AE52" s="20" t="str">
        <f t="shared" ca="1" si="17"/>
        <v/>
      </c>
      <c r="AF52" s="20" t="str">
        <f t="shared" ca="1" si="17"/>
        <v/>
      </c>
      <c r="AG52" s="20" t="str">
        <f t="shared" ca="1" si="17"/>
        <v/>
      </c>
      <c r="AH52" s="20" t="str">
        <f t="shared" ca="1" si="18"/>
        <v/>
      </c>
      <c r="AI52" s="20" t="str">
        <f t="shared" ca="1" si="18"/>
        <v/>
      </c>
      <c r="AJ52" s="20" t="str">
        <f t="shared" ca="1" si="18"/>
        <v/>
      </c>
      <c r="AK52" s="20" t="str">
        <f t="shared" ca="1" si="18"/>
        <v/>
      </c>
      <c r="AL52" s="20" t="str">
        <f t="shared" ca="1" si="18"/>
        <v/>
      </c>
      <c r="AM52" s="20" t="str">
        <f t="shared" ca="1" si="18"/>
        <v/>
      </c>
      <c r="AN52" s="20" t="str">
        <f t="shared" ca="1" si="18"/>
        <v/>
      </c>
      <c r="AO52" s="20" t="str">
        <f t="shared" ca="1" si="18"/>
        <v/>
      </c>
      <c r="AP52" s="20" t="str">
        <f t="shared" ca="1" si="18"/>
        <v/>
      </c>
      <c r="AQ52" s="20" t="str">
        <f t="shared" ca="1" si="18"/>
        <v/>
      </c>
      <c r="AR52" s="20" t="str">
        <f t="shared" ca="1" si="19"/>
        <v/>
      </c>
      <c r="AS52" s="20" t="str">
        <f t="shared" ca="1" si="19"/>
        <v/>
      </c>
      <c r="AT52" s="20" t="str">
        <f t="shared" ca="1" si="19"/>
        <v/>
      </c>
      <c r="AU52" s="20" t="str">
        <f t="shared" ca="1" si="19"/>
        <v/>
      </c>
      <c r="AV52" s="20" t="str">
        <f t="shared" ca="1" si="19"/>
        <v/>
      </c>
      <c r="AW52" s="20" t="str">
        <f t="shared" ca="1" si="19"/>
        <v/>
      </c>
      <c r="AX52" s="21" t="s">
        <v>184</v>
      </c>
    </row>
    <row r="53" spans="1:50" x14ac:dyDescent="0.2">
      <c r="A53" s="15" t="s">
        <v>185</v>
      </c>
      <c r="B53" s="15" t="s">
        <v>158</v>
      </c>
      <c r="C53" s="15" t="s">
        <v>186</v>
      </c>
      <c r="D53" s="24" t="s">
        <v>53</v>
      </c>
      <c r="E53" s="15">
        <v>1</v>
      </c>
      <c r="F53" s="15">
        <v>1</v>
      </c>
      <c r="G53" s="15" t="s">
        <v>187</v>
      </c>
      <c r="H53" s="17">
        <v>46323</v>
      </c>
      <c r="I53" s="17">
        <f>WORKDAY(H53,E53-1,Holidays!$A$2:$A$40)</f>
        <v>46323</v>
      </c>
      <c r="J53" s="18"/>
      <c r="K53" s="18"/>
      <c r="L53" s="19" t="s">
        <v>68</v>
      </c>
      <c r="M53" s="15" t="str">
        <f>IF(OR(K53="",I53=""),"",IF(K53&gt;=I53,NETWORKDAYS(I53,K53,Holidays!$A$2:$A$40)-1,-(NETWORKDAYS(K53,I53,Holidays!$A$2:$A$40)-1)))</f>
        <v/>
      </c>
      <c r="N53" s="20" t="str">
        <f t="shared" ca="1" si="16"/>
        <v/>
      </c>
      <c r="O53" s="20" t="str">
        <f t="shared" ca="1" si="16"/>
        <v/>
      </c>
      <c r="P53" s="20" t="str">
        <f t="shared" ca="1" si="16"/>
        <v/>
      </c>
      <c r="Q53" s="20" t="str">
        <f t="shared" ca="1" si="16"/>
        <v/>
      </c>
      <c r="R53" s="20" t="str">
        <f t="shared" ca="1" si="16"/>
        <v/>
      </c>
      <c r="S53" s="20" t="str">
        <f t="shared" ca="1" si="16"/>
        <v/>
      </c>
      <c r="T53" s="20" t="str">
        <f t="shared" ca="1" si="16"/>
        <v/>
      </c>
      <c r="U53" s="20" t="str">
        <f t="shared" ca="1" si="16"/>
        <v/>
      </c>
      <c r="V53" s="20" t="str">
        <f t="shared" ca="1" si="16"/>
        <v/>
      </c>
      <c r="W53" s="20" t="str">
        <f t="shared" ca="1" si="16"/>
        <v/>
      </c>
      <c r="X53" s="20" t="str">
        <f t="shared" ca="1" si="17"/>
        <v/>
      </c>
      <c r="Y53" s="20" t="str">
        <f t="shared" ca="1" si="17"/>
        <v/>
      </c>
      <c r="Z53" s="20" t="str">
        <f t="shared" ca="1" si="17"/>
        <v/>
      </c>
      <c r="AA53" s="20" t="str">
        <f t="shared" ca="1" si="17"/>
        <v/>
      </c>
      <c r="AB53" s="20" t="str">
        <f t="shared" ca="1" si="17"/>
        <v/>
      </c>
      <c r="AC53" s="20" t="str">
        <f t="shared" ca="1" si="17"/>
        <v/>
      </c>
      <c r="AD53" s="20" t="str">
        <f t="shared" ca="1" si="17"/>
        <v/>
      </c>
      <c r="AE53" s="20" t="str">
        <f t="shared" ca="1" si="17"/>
        <v/>
      </c>
      <c r="AF53" s="20" t="str">
        <f t="shared" ca="1" si="17"/>
        <v/>
      </c>
      <c r="AG53" s="20" t="str">
        <f t="shared" ca="1" si="17"/>
        <v/>
      </c>
      <c r="AH53" s="20" t="str">
        <f t="shared" ca="1" si="18"/>
        <v/>
      </c>
      <c r="AI53" s="20" t="str">
        <f t="shared" ca="1" si="18"/>
        <v/>
      </c>
      <c r="AJ53" s="20" t="str">
        <f t="shared" ca="1" si="18"/>
        <v/>
      </c>
      <c r="AK53" s="20" t="str">
        <f t="shared" ca="1" si="18"/>
        <v/>
      </c>
      <c r="AL53" s="20" t="str">
        <f t="shared" ca="1" si="18"/>
        <v/>
      </c>
      <c r="AM53" s="20" t="str">
        <f t="shared" ca="1" si="18"/>
        <v/>
      </c>
      <c r="AN53" s="20" t="str">
        <f t="shared" ca="1" si="18"/>
        <v/>
      </c>
      <c r="AO53" s="20" t="str">
        <f t="shared" ca="1" si="18"/>
        <v/>
      </c>
      <c r="AP53" s="20" t="str">
        <f t="shared" ca="1" si="18"/>
        <v/>
      </c>
      <c r="AQ53" s="20" t="str">
        <f t="shared" ca="1" si="18"/>
        <v/>
      </c>
      <c r="AR53" s="20" t="str">
        <f t="shared" ca="1" si="19"/>
        <v/>
      </c>
      <c r="AS53" s="20" t="str">
        <f t="shared" ca="1" si="19"/>
        <v/>
      </c>
      <c r="AT53" s="20" t="str">
        <f t="shared" ca="1" si="19"/>
        <v/>
      </c>
      <c r="AU53" s="20" t="str">
        <f t="shared" ca="1" si="19"/>
        <v/>
      </c>
      <c r="AV53" s="20" t="str">
        <f t="shared" ca="1" si="19"/>
        <v/>
      </c>
      <c r="AW53" s="20" t="str">
        <f t="shared" ca="1" si="19"/>
        <v/>
      </c>
      <c r="AX53" s="21" t="s">
        <v>188</v>
      </c>
    </row>
    <row r="54" spans="1:50" x14ac:dyDescent="0.2">
      <c r="A54" s="15" t="s">
        <v>189</v>
      </c>
      <c r="B54" s="15" t="s">
        <v>158</v>
      </c>
      <c r="C54" s="15" t="s">
        <v>190</v>
      </c>
      <c r="D54" s="24" t="s">
        <v>53</v>
      </c>
      <c r="E54" s="15">
        <v>1</v>
      </c>
      <c r="F54" s="15">
        <v>1</v>
      </c>
      <c r="G54" s="15" t="s">
        <v>185</v>
      </c>
      <c r="H54" s="17">
        <v>46324</v>
      </c>
      <c r="I54" s="17">
        <f>WORKDAY(H54,E54-1,Holidays!$A$2:$A$40)</f>
        <v>46324</v>
      </c>
      <c r="J54" s="18"/>
      <c r="K54" s="18"/>
      <c r="L54" s="19" t="s">
        <v>68</v>
      </c>
      <c r="M54" s="15" t="str">
        <f>IF(OR(K54="",I54=""),"",IF(K54&gt;=I54,NETWORKDAYS(I54,K54,Holidays!$A$2:$A$40)-1,-(NETWORKDAYS(K54,I54,Holidays!$A$2:$A$40)-1)))</f>
        <v/>
      </c>
      <c r="N54" s="20" t="str">
        <f t="shared" ca="1" si="16"/>
        <v/>
      </c>
      <c r="O54" s="20" t="str">
        <f t="shared" ca="1" si="16"/>
        <v/>
      </c>
      <c r="P54" s="20" t="str">
        <f t="shared" ca="1" si="16"/>
        <v/>
      </c>
      <c r="Q54" s="20" t="str">
        <f t="shared" ca="1" si="16"/>
        <v/>
      </c>
      <c r="R54" s="20" t="str">
        <f t="shared" ca="1" si="16"/>
        <v/>
      </c>
      <c r="S54" s="20" t="str">
        <f t="shared" ca="1" si="16"/>
        <v/>
      </c>
      <c r="T54" s="20" t="str">
        <f t="shared" ca="1" si="16"/>
        <v/>
      </c>
      <c r="U54" s="20" t="str">
        <f t="shared" ca="1" si="16"/>
        <v/>
      </c>
      <c r="V54" s="20" t="str">
        <f t="shared" ca="1" si="16"/>
        <v/>
      </c>
      <c r="W54" s="20" t="str">
        <f t="shared" ca="1" si="16"/>
        <v/>
      </c>
      <c r="X54" s="20" t="str">
        <f t="shared" ca="1" si="17"/>
        <v/>
      </c>
      <c r="Y54" s="20" t="str">
        <f t="shared" ca="1" si="17"/>
        <v/>
      </c>
      <c r="Z54" s="20" t="str">
        <f t="shared" ca="1" si="17"/>
        <v/>
      </c>
      <c r="AA54" s="20" t="str">
        <f t="shared" ca="1" si="17"/>
        <v/>
      </c>
      <c r="AB54" s="20" t="str">
        <f t="shared" ca="1" si="17"/>
        <v/>
      </c>
      <c r="AC54" s="20" t="str">
        <f t="shared" ca="1" si="17"/>
        <v/>
      </c>
      <c r="AD54" s="20" t="str">
        <f t="shared" ca="1" si="17"/>
        <v/>
      </c>
      <c r="AE54" s="20" t="str">
        <f t="shared" ca="1" si="17"/>
        <v/>
      </c>
      <c r="AF54" s="20" t="str">
        <f t="shared" ca="1" si="17"/>
        <v/>
      </c>
      <c r="AG54" s="20" t="str">
        <f t="shared" ca="1" si="17"/>
        <v/>
      </c>
      <c r="AH54" s="20" t="str">
        <f t="shared" ca="1" si="18"/>
        <v/>
      </c>
      <c r="AI54" s="20" t="str">
        <f t="shared" ca="1" si="18"/>
        <v/>
      </c>
      <c r="AJ54" s="20" t="str">
        <f t="shared" ca="1" si="18"/>
        <v/>
      </c>
      <c r="AK54" s="20" t="str">
        <f t="shared" ca="1" si="18"/>
        <v/>
      </c>
      <c r="AL54" s="20" t="str">
        <f t="shared" ca="1" si="18"/>
        <v/>
      </c>
      <c r="AM54" s="20" t="str">
        <f t="shared" ca="1" si="18"/>
        <v/>
      </c>
      <c r="AN54" s="20" t="str">
        <f t="shared" ca="1" si="18"/>
        <v/>
      </c>
      <c r="AO54" s="20" t="str">
        <f t="shared" ca="1" si="18"/>
        <v/>
      </c>
      <c r="AP54" s="20" t="str">
        <f t="shared" ca="1" si="18"/>
        <v/>
      </c>
      <c r="AQ54" s="20" t="str">
        <f t="shared" ca="1" si="18"/>
        <v/>
      </c>
      <c r="AR54" s="20" t="str">
        <f t="shared" ca="1" si="19"/>
        <v/>
      </c>
      <c r="AS54" s="20" t="str">
        <f t="shared" ca="1" si="19"/>
        <v/>
      </c>
      <c r="AT54" s="20" t="str">
        <f t="shared" ca="1" si="19"/>
        <v/>
      </c>
      <c r="AU54" s="20" t="str">
        <f t="shared" ca="1" si="19"/>
        <v/>
      </c>
      <c r="AV54" s="20" t="str">
        <f t="shared" ca="1" si="19"/>
        <v/>
      </c>
      <c r="AW54" s="20" t="str">
        <f t="shared" ca="1" si="19"/>
        <v/>
      </c>
      <c r="AX54" s="21" t="s">
        <v>191</v>
      </c>
    </row>
    <row r="55" spans="1:50" x14ac:dyDescent="0.2">
      <c r="A55" s="15" t="s">
        <v>192</v>
      </c>
      <c r="B55" s="15" t="s">
        <v>158</v>
      </c>
      <c r="C55" s="15" t="s">
        <v>193</v>
      </c>
      <c r="D55" s="29" t="s">
        <v>82</v>
      </c>
      <c r="E55" s="15">
        <v>1</v>
      </c>
      <c r="F55" s="15">
        <v>1</v>
      </c>
      <c r="G55" s="15" t="s">
        <v>185</v>
      </c>
      <c r="H55" s="17">
        <v>46324</v>
      </c>
      <c r="I55" s="17">
        <f>WORKDAY(H55,E55-1,Holidays!$A$2:$A$40)</f>
        <v>46324</v>
      </c>
      <c r="J55" s="18"/>
      <c r="K55" s="18"/>
      <c r="L55" s="19" t="s">
        <v>68</v>
      </c>
      <c r="M55" s="15" t="str">
        <f>IF(OR(K55="",I55=""),"",IF(K55&gt;=I55,NETWORKDAYS(I55,K55,Holidays!$A$2:$A$40)-1,-(NETWORKDAYS(K55,I55,Holidays!$A$2:$A$40)-1)))</f>
        <v/>
      </c>
      <c r="N55" s="20" t="str">
        <f t="shared" ref="N55:W60" ca="1" si="20">IF(AND($J55&lt;&gt;"",N$4&gt;=$J55,N$4&lt;=IF($K55="",TODAY(),$K55),N$65=0),"●","")</f>
        <v/>
      </c>
      <c r="O55" s="20" t="str">
        <f t="shared" ca="1" si="20"/>
        <v/>
      </c>
      <c r="P55" s="20" t="str">
        <f t="shared" ca="1" si="20"/>
        <v/>
      </c>
      <c r="Q55" s="20" t="str">
        <f t="shared" ca="1" si="20"/>
        <v/>
      </c>
      <c r="R55" s="20" t="str">
        <f t="shared" ca="1" si="20"/>
        <v/>
      </c>
      <c r="S55" s="20" t="str">
        <f t="shared" ca="1" si="20"/>
        <v/>
      </c>
      <c r="T55" s="20" t="str">
        <f t="shared" ca="1" si="20"/>
        <v/>
      </c>
      <c r="U55" s="20" t="str">
        <f t="shared" ca="1" si="20"/>
        <v/>
      </c>
      <c r="V55" s="20" t="str">
        <f t="shared" ca="1" si="20"/>
        <v/>
      </c>
      <c r="W55" s="20" t="str">
        <f t="shared" ca="1" si="20"/>
        <v/>
      </c>
      <c r="X55" s="20" t="str">
        <f t="shared" ref="X55:AG60" ca="1" si="21">IF(AND($J55&lt;&gt;"",X$4&gt;=$J55,X$4&lt;=IF($K55="",TODAY(),$K55),X$65=0),"●","")</f>
        <v/>
      </c>
      <c r="Y55" s="20" t="str">
        <f t="shared" ca="1" si="21"/>
        <v/>
      </c>
      <c r="Z55" s="20" t="str">
        <f t="shared" ca="1" si="21"/>
        <v/>
      </c>
      <c r="AA55" s="20" t="str">
        <f t="shared" ca="1" si="21"/>
        <v/>
      </c>
      <c r="AB55" s="20" t="str">
        <f t="shared" ca="1" si="21"/>
        <v/>
      </c>
      <c r="AC55" s="20" t="str">
        <f t="shared" ca="1" si="21"/>
        <v/>
      </c>
      <c r="AD55" s="20" t="str">
        <f t="shared" ca="1" si="21"/>
        <v/>
      </c>
      <c r="AE55" s="20" t="str">
        <f t="shared" ca="1" si="21"/>
        <v/>
      </c>
      <c r="AF55" s="20" t="str">
        <f t="shared" ca="1" si="21"/>
        <v/>
      </c>
      <c r="AG55" s="20" t="str">
        <f t="shared" ca="1" si="21"/>
        <v/>
      </c>
      <c r="AH55" s="20" t="str">
        <f t="shared" ref="AH55:AQ60" ca="1" si="22">IF(AND($J55&lt;&gt;"",AH$4&gt;=$J55,AH$4&lt;=IF($K55="",TODAY(),$K55),AH$65=0),"●","")</f>
        <v/>
      </c>
      <c r="AI55" s="20" t="str">
        <f t="shared" ca="1" si="22"/>
        <v/>
      </c>
      <c r="AJ55" s="20" t="str">
        <f t="shared" ca="1" si="22"/>
        <v/>
      </c>
      <c r="AK55" s="20" t="str">
        <f t="shared" ca="1" si="22"/>
        <v/>
      </c>
      <c r="AL55" s="20" t="str">
        <f t="shared" ca="1" si="22"/>
        <v/>
      </c>
      <c r="AM55" s="20" t="str">
        <f t="shared" ca="1" si="22"/>
        <v/>
      </c>
      <c r="AN55" s="20" t="str">
        <f t="shared" ca="1" si="22"/>
        <v/>
      </c>
      <c r="AO55" s="20" t="str">
        <f t="shared" ca="1" si="22"/>
        <v/>
      </c>
      <c r="AP55" s="20" t="str">
        <f t="shared" ca="1" si="22"/>
        <v/>
      </c>
      <c r="AQ55" s="20" t="str">
        <f t="shared" ca="1" si="22"/>
        <v/>
      </c>
      <c r="AR55" s="20" t="str">
        <f t="shared" ref="AR55:AW60" ca="1" si="23">IF(AND($J55&lt;&gt;"",AR$4&gt;=$J55,AR$4&lt;=IF($K55="",TODAY(),$K55),AR$65=0),"●","")</f>
        <v/>
      </c>
      <c r="AS55" s="20" t="str">
        <f t="shared" ca="1" si="23"/>
        <v/>
      </c>
      <c r="AT55" s="20" t="str">
        <f t="shared" ca="1" si="23"/>
        <v/>
      </c>
      <c r="AU55" s="20" t="str">
        <f t="shared" ca="1" si="23"/>
        <v/>
      </c>
      <c r="AV55" s="20" t="str">
        <f t="shared" ca="1" si="23"/>
        <v/>
      </c>
      <c r="AW55" s="20" t="str">
        <f t="shared" ca="1" si="23"/>
        <v/>
      </c>
      <c r="AX55" s="21" t="s">
        <v>194</v>
      </c>
    </row>
    <row r="56" spans="1:50" x14ac:dyDescent="0.2">
      <c r="A56" s="15" t="s">
        <v>195</v>
      </c>
      <c r="B56" s="15" t="s">
        <v>158</v>
      </c>
      <c r="C56" s="15" t="s">
        <v>196</v>
      </c>
      <c r="D56" s="22" t="s">
        <v>44</v>
      </c>
      <c r="E56" s="15">
        <v>1</v>
      </c>
      <c r="F56" s="15">
        <v>1</v>
      </c>
      <c r="G56" s="15" t="s">
        <v>185</v>
      </c>
      <c r="H56" s="17">
        <v>46324</v>
      </c>
      <c r="I56" s="17">
        <f>WORKDAY(H56,E56-1,Holidays!$A$2:$A$40)</f>
        <v>46324</v>
      </c>
      <c r="J56" s="18"/>
      <c r="K56" s="18"/>
      <c r="L56" s="19" t="s">
        <v>68</v>
      </c>
      <c r="M56" s="15" t="str">
        <f>IF(OR(K56="",I56=""),"",IF(K56&gt;=I56,NETWORKDAYS(I56,K56,Holidays!$A$2:$A$40)-1,-(NETWORKDAYS(K56,I56,Holidays!$A$2:$A$40)-1)))</f>
        <v/>
      </c>
      <c r="N56" s="20" t="str">
        <f t="shared" ca="1" si="20"/>
        <v/>
      </c>
      <c r="O56" s="20" t="str">
        <f t="shared" ca="1" si="20"/>
        <v/>
      </c>
      <c r="P56" s="20" t="str">
        <f t="shared" ca="1" si="20"/>
        <v/>
      </c>
      <c r="Q56" s="20" t="str">
        <f t="shared" ca="1" si="20"/>
        <v/>
      </c>
      <c r="R56" s="20" t="str">
        <f t="shared" ca="1" si="20"/>
        <v/>
      </c>
      <c r="S56" s="20" t="str">
        <f t="shared" ca="1" si="20"/>
        <v/>
      </c>
      <c r="T56" s="20" t="str">
        <f t="shared" ca="1" si="20"/>
        <v/>
      </c>
      <c r="U56" s="20" t="str">
        <f t="shared" ca="1" si="20"/>
        <v/>
      </c>
      <c r="V56" s="20" t="str">
        <f t="shared" ca="1" si="20"/>
        <v/>
      </c>
      <c r="W56" s="20" t="str">
        <f t="shared" ca="1" si="20"/>
        <v/>
      </c>
      <c r="X56" s="20" t="str">
        <f t="shared" ca="1" si="21"/>
        <v/>
      </c>
      <c r="Y56" s="20" t="str">
        <f t="shared" ca="1" si="21"/>
        <v/>
      </c>
      <c r="Z56" s="20" t="str">
        <f t="shared" ca="1" si="21"/>
        <v/>
      </c>
      <c r="AA56" s="20" t="str">
        <f t="shared" ca="1" si="21"/>
        <v/>
      </c>
      <c r="AB56" s="20" t="str">
        <f t="shared" ca="1" si="21"/>
        <v/>
      </c>
      <c r="AC56" s="20" t="str">
        <f t="shared" ca="1" si="21"/>
        <v/>
      </c>
      <c r="AD56" s="20" t="str">
        <f t="shared" ca="1" si="21"/>
        <v/>
      </c>
      <c r="AE56" s="20" t="str">
        <f t="shared" ca="1" si="21"/>
        <v/>
      </c>
      <c r="AF56" s="20" t="str">
        <f t="shared" ca="1" si="21"/>
        <v/>
      </c>
      <c r="AG56" s="20" t="str">
        <f t="shared" ca="1" si="21"/>
        <v/>
      </c>
      <c r="AH56" s="20" t="str">
        <f t="shared" ca="1" si="22"/>
        <v/>
      </c>
      <c r="AI56" s="20" t="str">
        <f t="shared" ca="1" si="22"/>
        <v/>
      </c>
      <c r="AJ56" s="20" t="str">
        <f t="shared" ca="1" si="22"/>
        <v/>
      </c>
      <c r="AK56" s="20" t="str">
        <f t="shared" ca="1" si="22"/>
        <v/>
      </c>
      <c r="AL56" s="20" t="str">
        <f t="shared" ca="1" si="22"/>
        <v/>
      </c>
      <c r="AM56" s="20" t="str">
        <f t="shared" ca="1" si="22"/>
        <v/>
      </c>
      <c r="AN56" s="20" t="str">
        <f t="shared" ca="1" si="22"/>
        <v/>
      </c>
      <c r="AO56" s="20" t="str">
        <f t="shared" ca="1" si="22"/>
        <v/>
      </c>
      <c r="AP56" s="20" t="str">
        <f t="shared" ca="1" si="22"/>
        <v/>
      </c>
      <c r="AQ56" s="20" t="str">
        <f t="shared" ca="1" si="22"/>
        <v/>
      </c>
      <c r="AR56" s="20" t="str">
        <f t="shared" ca="1" si="23"/>
        <v/>
      </c>
      <c r="AS56" s="20" t="str">
        <f t="shared" ca="1" si="23"/>
        <v/>
      </c>
      <c r="AT56" s="20" t="str">
        <f t="shared" ca="1" si="23"/>
        <v/>
      </c>
      <c r="AU56" s="20" t="str">
        <f t="shared" ca="1" si="23"/>
        <v/>
      </c>
      <c r="AV56" s="20" t="str">
        <f t="shared" ca="1" si="23"/>
        <v/>
      </c>
      <c r="AW56" s="20" t="str">
        <f t="shared" ca="1" si="23"/>
        <v/>
      </c>
      <c r="AX56" s="21" t="s">
        <v>197</v>
      </c>
    </row>
    <row r="57" spans="1:50" x14ac:dyDescent="0.2">
      <c r="A57" s="15" t="s">
        <v>198</v>
      </c>
      <c r="B57" s="15" t="s">
        <v>158</v>
      </c>
      <c r="C57" s="15" t="s">
        <v>199</v>
      </c>
      <c r="D57" s="16" t="s">
        <v>39</v>
      </c>
      <c r="E57" s="15">
        <v>1</v>
      </c>
      <c r="F57" s="15">
        <v>1</v>
      </c>
      <c r="G57" s="15" t="s">
        <v>185</v>
      </c>
      <c r="H57" s="17">
        <v>46324</v>
      </c>
      <c r="I57" s="17">
        <f>WORKDAY(H57,E57-1,Holidays!$A$2:$A$40)</f>
        <v>46324</v>
      </c>
      <c r="J57" s="18"/>
      <c r="K57" s="18"/>
      <c r="L57" s="19" t="s">
        <v>68</v>
      </c>
      <c r="M57" s="15" t="str">
        <f>IF(OR(K57="",I57=""),"",IF(K57&gt;=I57,NETWORKDAYS(I57,K57,Holidays!$A$2:$A$40)-1,-(NETWORKDAYS(K57,I57,Holidays!$A$2:$A$40)-1)))</f>
        <v/>
      </c>
      <c r="N57" s="20" t="str">
        <f t="shared" ca="1" si="20"/>
        <v/>
      </c>
      <c r="O57" s="20" t="str">
        <f t="shared" ca="1" si="20"/>
        <v/>
      </c>
      <c r="P57" s="20" t="str">
        <f t="shared" ca="1" si="20"/>
        <v/>
      </c>
      <c r="Q57" s="20" t="str">
        <f t="shared" ca="1" si="20"/>
        <v/>
      </c>
      <c r="R57" s="20" t="str">
        <f t="shared" ca="1" si="20"/>
        <v/>
      </c>
      <c r="S57" s="20" t="str">
        <f t="shared" ca="1" si="20"/>
        <v/>
      </c>
      <c r="T57" s="20" t="str">
        <f t="shared" ca="1" si="20"/>
        <v/>
      </c>
      <c r="U57" s="20" t="str">
        <f t="shared" ca="1" si="20"/>
        <v/>
      </c>
      <c r="V57" s="20" t="str">
        <f t="shared" ca="1" si="20"/>
        <v/>
      </c>
      <c r="W57" s="20" t="str">
        <f t="shared" ca="1" si="20"/>
        <v/>
      </c>
      <c r="X57" s="20" t="str">
        <f t="shared" ca="1" si="21"/>
        <v/>
      </c>
      <c r="Y57" s="20" t="str">
        <f t="shared" ca="1" si="21"/>
        <v/>
      </c>
      <c r="Z57" s="20" t="str">
        <f t="shared" ca="1" si="21"/>
        <v/>
      </c>
      <c r="AA57" s="20" t="str">
        <f t="shared" ca="1" si="21"/>
        <v/>
      </c>
      <c r="AB57" s="20" t="str">
        <f t="shared" ca="1" si="21"/>
        <v/>
      </c>
      <c r="AC57" s="20" t="str">
        <f t="shared" ca="1" si="21"/>
        <v/>
      </c>
      <c r="AD57" s="20" t="str">
        <f t="shared" ca="1" si="21"/>
        <v/>
      </c>
      <c r="AE57" s="20" t="str">
        <f t="shared" ca="1" si="21"/>
        <v/>
      </c>
      <c r="AF57" s="20" t="str">
        <f t="shared" ca="1" si="21"/>
        <v/>
      </c>
      <c r="AG57" s="20" t="str">
        <f t="shared" ca="1" si="21"/>
        <v/>
      </c>
      <c r="AH57" s="20" t="str">
        <f t="shared" ca="1" si="22"/>
        <v/>
      </c>
      <c r="AI57" s="20" t="str">
        <f t="shared" ca="1" si="22"/>
        <v/>
      </c>
      <c r="AJ57" s="20" t="str">
        <f t="shared" ca="1" si="22"/>
        <v/>
      </c>
      <c r="AK57" s="20" t="str">
        <f t="shared" ca="1" si="22"/>
        <v/>
      </c>
      <c r="AL57" s="20" t="str">
        <f t="shared" ca="1" si="22"/>
        <v/>
      </c>
      <c r="AM57" s="20" t="str">
        <f t="shared" ca="1" si="22"/>
        <v/>
      </c>
      <c r="AN57" s="20" t="str">
        <f t="shared" ca="1" si="22"/>
        <v/>
      </c>
      <c r="AO57" s="20" t="str">
        <f t="shared" ca="1" si="22"/>
        <v/>
      </c>
      <c r="AP57" s="20" t="str">
        <f t="shared" ca="1" si="22"/>
        <v/>
      </c>
      <c r="AQ57" s="20" t="str">
        <f t="shared" ca="1" si="22"/>
        <v/>
      </c>
      <c r="AR57" s="20" t="str">
        <f t="shared" ca="1" si="23"/>
        <v/>
      </c>
      <c r="AS57" s="20" t="str">
        <f t="shared" ca="1" si="23"/>
        <v/>
      </c>
      <c r="AT57" s="20" t="str">
        <f t="shared" ca="1" si="23"/>
        <v/>
      </c>
      <c r="AU57" s="20" t="str">
        <f t="shared" ca="1" si="23"/>
        <v/>
      </c>
      <c r="AV57" s="20" t="str">
        <f t="shared" ca="1" si="23"/>
        <v/>
      </c>
      <c r="AW57" s="20" t="str">
        <f t="shared" ca="1" si="23"/>
        <v/>
      </c>
      <c r="AX57" s="21" t="s">
        <v>200</v>
      </c>
    </row>
    <row r="58" spans="1:50" x14ac:dyDescent="0.2">
      <c r="A58" s="15" t="s">
        <v>201</v>
      </c>
      <c r="B58" s="15" t="s">
        <v>158</v>
      </c>
      <c r="C58" s="15" t="s">
        <v>202</v>
      </c>
      <c r="D58" s="28" t="s">
        <v>78</v>
      </c>
      <c r="E58" s="15">
        <v>1</v>
      </c>
      <c r="F58" s="15">
        <v>1</v>
      </c>
      <c r="G58" s="15" t="s">
        <v>185</v>
      </c>
      <c r="H58" s="17">
        <v>46324</v>
      </c>
      <c r="I58" s="17">
        <f>WORKDAY(H58,E58-1,Holidays!$A$2:$A$40)</f>
        <v>46324</v>
      </c>
      <c r="J58" s="18"/>
      <c r="K58" s="18"/>
      <c r="L58" s="19" t="s">
        <v>68</v>
      </c>
      <c r="M58" s="15" t="str">
        <f>IF(OR(K58="",I58=""),"",IF(K58&gt;=I58,NETWORKDAYS(I58,K58,Holidays!$A$2:$A$40)-1,-(NETWORKDAYS(K58,I58,Holidays!$A$2:$A$40)-1)))</f>
        <v/>
      </c>
      <c r="N58" s="20" t="str">
        <f t="shared" ca="1" si="20"/>
        <v/>
      </c>
      <c r="O58" s="20" t="str">
        <f t="shared" ca="1" si="20"/>
        <v/>
      </c>
      <c r="P58" s="20" t="str">
        <f t="shared" ca="1" si="20"/>
        <v/>
      </c>
      <c r="Q58" s="20" t="str">
        <f t="shared" ca="1" si="20"/>
        <v/>
      </c>
      <c r="R58" s="20" t="str">
        <f t="shared" ca="1" si="20"/>
        <v/>
      </c>
      <c r="S58" s="20" t="str">
        <f t="shared" ca="1" si="20"/>
        <v/>
      </c>
      <c r="T58" s="20" t="str">
        <f t="shared" ca="1" si="20"/>
        <v/>
      </c>
      <c r="U58" s="20" t="str">
        <f t="shared" ca="1" si="20"/>
        <v/>
      </c>
      <c r="V58" s="20" t="str">
        <f t="shared" ca="1" si="20"/>
        <v/>
      </c>
      <c r="W58" s="20" t="str">
        <f t="shared" ca="1" si="20"/>
        <v/>
      </c>
      <c r="X58" s="20" t="str">
        <f t="shared" ca="1" si="21"/>
        <v/>
      </c>
      <c r="Y58" s="20" t="str">
        <f t="shared" ca="1" si="21"/>
        <v/>
      </c>
      <c r="Z58" s="20" t="str">
        <f t="shared" ca="1" si="21"/>
        <v/>
      </c>
      <c r="AA58" s="20" t="str">
        <f t="shared" ca="1" si="21"/>
        <v/>
      </c>
      <c r="AB58" s="20" t="str">
        <f t="shared" ca="1" si="21"/>
        <v/>
      </c>
      <c r="AC58" s="20" t="str">
        <f t="shared" ca="1" si="21"/>
        <v/>
      </c>
      <c r="AD58" s="20" t="str">
        <f t="shared" ca="1" si="21"/>
        <v/>
      </c>
      <c r="AE58" s="20" t="str">
        <f t="shared" ca="1" si="21"/>
        <v/>
      </c>
      <c r="AF58" s="20" t="str">
        <f t="shared" ca="1" si="21"/>
        <v/>
      </c>
      <c r="AG58" s="20" t="str">
        <f t="shared" ca="1" si="21"/>
        <v/>
      </c>
      <c r="AH58" s="20" t="str">
        <f t="shared" ca="1" si="22"/>
        <v/>
      </c>
      <c r="AI58" s="20" t="str">
        <f t="shared" ca="1" si="22"/>
        <v/>
      </c>
      <c r="AJ58" s="20" t="str">
        <f t="shared" ca="1" si="22"/>
        <v/>
      </c>
      <c r="AK58" s="20" t="str">
        <f t="shared" ca="1" si="22"/>
        <v/>
      </c>
      <c r="AL58" s="20" t="str">
        <f t="shared" ca="1" si="22"/>
        <v/>
      </c>
      <c r="AM58" s="20" t="str">
        <f t="shared" ca="1" si="22"/>
        <v/>
      </c>
      <c r="AN58" s="20" t="str">
        <f t="shared" ca="1" si="22"/>
        <v/>
      </c>
      <c r="AO58" s="20" t="str">
        <f t="shared" ca="1" si="22"/>
        <v/>
      </c>
      <c r="AP58" s="20" t="str">
        <f t="shared" ca="1" si="22"/>
        <v/>
      </c>
      <c r="AQ58" s="20" t="str">
        <f t="shared" ca="1" si="22"/>
        <v/>
      </c>
      <c r="AR58" s="20" t="str">
        <f t="shared" ca="1" si="23"/>
        <v/>
      </c>
      <c r="AS58" s="20" t="str">
        <f t="shared" ca="1" si="23"/>
        <v/>
      </c>
      <c r="AT58" s="20" t="str">
        <f t="shared" ca="1" si="23"/>
        <v/>
      </c>
      <c r="AU58" s="20" t="str">
        <f t="shared" ca="1" si="23"/>
        <v/>
      </c>
      <c r="AV58" s="20" t="str">
        <f t="shared" ca="1" si="23"/>
        <v/>
      </c>
      <c r="AW58" s="20" t="str">
        <f t="shared" ca="1" si="23"/>
        <v/>
      </c>
      <c r="AX58" s="21" t="s">
        <v>203</v>
      </c>
    </row>
    <row r="59" spans="1:50" x14ac:dyDescent="0.2">
      <c r="A59" s="15" t="s">
        <v>204</v>
      </c>
      <c r="B59" s="15" t="s">
        <v>158</v>
      </c>
      <c r="C59" s="15" t="s">
        <v>205</v>
      </c>
      <c r="D59" s="29" t="s">
        <v>82</v>
      </c>
      <c r="E59" s="15">
        <v>1</v>
      </c>
      <c r="F59" s="15">
        <v>1</v>
      </c>
      <c r="G59" s="15" t="s">
        <v>206</v>
      </c>
      <c r="H59" s="17">
        <v>46325</v>
      </c>
      <c r="I59" s="17">
        <f>WORKDAY(H59,E59-1,Holidays!$A$2:$A$40)</f>
        <v>46325</v>
      </c>
      <c r="J59" s="18"/>
      <c r="K59" s="18"/>
      <c r="L59" s="19" t="s">
        <v>68</v>
      </c>
      <c r="M59" s="15" t="str">
        <f>IF(OR(K59="",I59=""),"",IF(K59&gt;=I59,NETWORKDAYS(I59,K59,Holidays!$A$2:$A$40)-1,-(NETWORKDAYS(K59,I59,Holidays!$A$2:$A$40)-1)))</f>
        <v/>
      </c>
      <c r="N59" s="20" t="str">
        <f t="shared" ca="1" si="20"/>
        <v/>
      </c>
      <c r="O59" s="20" t="str">
        <f t="shared" ca="1" si="20"/>
        <v/>
      </c>
      <c r="P59" s="20" t="str">
        <f t="shared" ca="1" si="20"/>
        <v/>
      </c>
      <c r="Q59" s="20" t="str">
        <f t="shared" ca="1" si="20"/>
        <v/>
      </c>
      <c r="R59" s="20" t="str">
        <f t="shared" ca="1" si="20"/>
        <v/>
      </c>
      <c r="S59" s="20" t="str">
        <f t="shared" ca="1" si="20"/>
        <v/>
      </c>
      <c r="T59" s="20" t="str">
        <f t="shared" ca="1" si="20"/>
        <v/>
      </c>
      <c r="U59" s="20" t="str">
        <f t="shared" ca="1" si="20"/>
        <v/>
      </c>
      <c r="V59" s="20" t="str">
        <f t="shared" ca="1" si="20"/>
        <v/>
      </c>
      <c r="W59" s="20" t="str">
        <f t="shared" ca="1" si="20"/>
        <v/>
      </c>
      <c r="X59" s="20" t="str">
        <f t="shared" ca="1" si="21"/>
        <v/>
      </c>
      <c r="Y59" s="20" t="str">
        <f t="shared" ca="1" si="21"/>
        <v/>
      </c>
      <c r="Z59" s="20" t="str">
        <f t="shared" ca="1" si="21"/>
        <v/>
      </c>
      <c r="AA59" s="20" t="str">
        <f t="shared" ca="1" si="21"/>
        <v/>
      </c>
      <c r="AB59" s="20" t="str">
        <f t="shared" ca="1" si="21"/>
        <v/>
      </c>
      <c r="AC59" s="20" t="str">
        <f t="shared" ca="1" si="21"/>
        <v/>
      </c>
      <c r="AD59" s="20" t="str">
        <f t="shared" ca="1" si="21"/>
        <v/>
      </c>
      <c r="AE59" s="20" t="str">
        <f t="shared" ca="1" si="21"/>
        <v/>
      </c>
      <c r="AF59" s="20" t="str">
        <f t="shared" ca="1" si="21"/>
        <v/>
      </c>
      <c r="AG59" s="20" t="str">
        <f t="shared" ca="1" si="21"/>
        <v/>
      </c>
      <c r="AH59" s="20" t="str">
        <f t="shared" ca="1" si="22"/>
        <v/>
      </c>
      <c r="AI59" s="20" t="str">
        <f t="shared" ca="1" si="22"/>
        <v/>
      </c>
      <c r="AJ59" s="20" t="str">
        <f t="shared" ca="1" si="22"/>
        <v/>
      </c>
      <c r="AK59" s="20" t="str">
        <f t="shared" ca="1" si="22"/>
        <v/>
      </c>
      <c r="AL59" s="20" t="str">
        <f t="shared" ca="1" si="22"/>
        <v/>
      </c>
      <c r="AM59" s="20" t="str">
        <f t="shared" ca="1" si="22"/>
        <v/>
      </c>
      <c r="AN59" s="20" t="str">
        <f t="shared" ca="1" si="22"/>
        <v/>
      </c>
      <c r="AO59" s="20" t="str">
        <f t="shared" ca="1" si="22"/>
        <v/>
      </c>
      <c r="AP59" s="20" t="str">
        <f t="shared" ca="1" si="22"/>
        <v/>
      </c>
      <c r="AQ59" s="20" t="str">
        <f t="shared" ca="1" si="22"/>
        <v/>
      </c>
      <c r="AR59" s="20" t="str">
        <f t="shared" ca="1" si="23"/>
        <v/>
      </c>
      <c r="AS59" s="20" t="str">
        <f t="shared" ca="1" si="23"/>
        <v/>
      </c>
      <c r="AT59" s="20" t="str">
        <f t="shared" ca="1" si="23"/>
        <v/>
      </c>
      <c r="AU59" s="20" t="str">
        <f t="shared" ca="1" si="23"/>
        <v/>
      </c>
      <c r="AV59" s="20" t="str">
        <f t="shared" ca="1" si="23"/>
        <v/>
      </c>
      <c r="AW59" s="20" t="str">
        <f t="shared" ca="1" si="23"/>
        <v/>
      </c>
      <c r="AX59" s="21" t="s">
        <v>207</v>
      </c>
    </row>
    <row r="60" spans="1:50" x14ac:dyDescent="0.2">
      <c r="A60" s="15" t="s">
        <v>208</v>
      </c>
      <c r="B60" s="15" t="s">
        <v>158</v>
      </c>
      <c r="C60" s="15" t="s">
        <v>209</v>
      </c>
      <c r="D60" s="16" t="s">
        <v>39</v>
      </c>
      <c r="E60" s="15">
        <v>2</v>
      </c>
      <c r="F60" s="15">
        <v>2</v>
      </c>
      <c r="G60" s="15" t="s">
        <v>204</v>
      </c>
      <c r="H60" s="17">
        <v>46328</v>
      </c>
      <c r="I60" s="17">
        <f>WORKDAY(H60,E60-1,Holidays!$A$2:$A$40)</f>
        <v>46329</v>
      </c>
      <c r="J60" s="18"/>
      <c r="K60" s="18"/>
      <c r="L60" s="19" t="s">
        <v>68</v>
      </c>
      <c r="M60" s="15" t="str">
        <f>IF(OR(K60="",I60=""),"",IF(K60&gt;=I60,NETWORKDAYS(I60,K60,Holidays!$A$2:$A$40)-1,-(NETWORKDAYS(K60,I60,Holidays!$A$2:$A$40)-1)))</f>
        <v/>
      </c>
      <c r="N60" s="20" t="str">
        <f t="shared" ca="1" si="20"/>
        <v/>
      </c>
      <c r="O60" s="20" t="str">
        <f t="shared" ca="1" si="20"/>
        <v/>
      </c>
      <c r="P60" s="20" t="str">
        <f t="shared" ca="1" si="20"/>
        <v/>
      </c>
      <c r="Q60" s="20" t="str">
        <f t="shared" ca="1" si="20"/>
        <v/>
      </c>
      <c r="R60" s="20" t="str">
        <f t="shared" ca="1" si="20"/>
        <v/>
      </c>
      <c r="S60" s="20" t="str">
        <f t="shared" ca="1" si="20"/>
        <v/>
      </c>
      <c r="T60" s="20" t="str">
        <f t="shared" ca="1" si="20"/>
        <v/>
      </c>
      <c r="U60" s="20" t="str">
        <f t="shared" ca="1" si="20"/>
        <v/>
      </c>
      <c r="V60" s="20" t="str">
        <f t="shared" ca="1" si="20"/>
        <v/>
      </c>
      <c r="W60" s="20" t="str">
        <f t="shared" ca="1" si="20"/>
        <v/>
      </c>
      <c r="X60" s="20" t="str">
        <f t="shared" ca="1" si="21"/>
        <v/>
      </c>
      <c r="Y60" s="20" t="str">
        <f t="shared" ca="1" si="21"/>
        <v/>
      </c>
      <c r="Z60" s="20" t="str">
        <f t="shared" ca="1" si="21"/>
        <v/>
      </c>
      <c r="AA60" s="20" t="str">
        <f t="shared" ca="1" si="21"/>
        <v/>
      </c>
      <c r="AB60" s="20" t="str">
        <f t="shared" ca="1" si="21"/>
        <v/>
      </c>
      <c r="AC60" s="20" t="str">
        <f t="shared" ca="1" si="21"/>
        <v/>
      </c>
      <c r="AD60" s="20" t="str">
        <f t="shared" ca="1" si="21"/>
        <v/>
      </c>
      <c r="AE60" s="20" t="str">
        <f t="shared" ca="1" si="21"/>
        <v/>
      </c>
      <c r="AF60" s="20" t="str">
        <f t="shared" ca="1" si="21"/>
        <v/>
      </c>
      <c r="AG60" s="20" t="str">
        <f t="shared" ca="1" si="21"/>
        <v/>
      </c>
      <c r="AH60" s="20" t="str">
        <f t="shared" ca="1" si="22"/>
        <v/>
      </c>
      <c r="AI60" s="20" t="str">
        <f t="shared" ca="1" si="22"/>
        <v/>
      </c>
      <c r="AJ60" s="20" t="str">
        <f t="shared" ca="1" si="22"/>
        <v/>
      </c>
      <c r="AK60" s="20" t="str">
        <f t="shared" ca="1" si="22"/>
        <v/>
      </c>
      <c r="AL60" s="20" t="str">
        <f t="shared" ca="1" si="22"/>
        <v/>
      </c>
      <c r="AM60" s="20" t="str">
        <f t="shared" ca="1" si="22"/>
        <v/>
      </c>
      <c r="AN60" s="20" t="str">
        <f t="shared" ca="1" si="22"/>
        <v/>
      </c>
      <c r="AO60" s="20" t="str">
        <f t="shared" ca="1" si="22"/>
        <v/>
      </c>
      <c r="AP60" s="20" t="str">
        <f t="shared" ca="1" si="22"/>
        <v/>
      </c>
      <c r="AQ60" s="20" t="str">
        <f t="shared" ca="1" si="22"/>
        <v/>
      </c>
      <c r="AR60" s="20" t="str">
        <f t="shared" ca="1" si="23"/>
        <v/>
      </c>
      <c r="AS60" s="20" t="str">
        <f t="shared" ca="1" si="23"/>
        <v/>
      </c>
      <c r="AT60" s="20" t="str">
        <f t="shared" ca="1" si="23"/>
        <v/>
      </c>
      <c r="AU60" s="20" t="str">
        <f t="shared" ca="1" si="23"/>
        <v/>
      </c>
      <c r="AV60" s="20" t="str">
        <f t="shared" ca="1" si="23"/>
        <v/>
      </c>
      <c r="AW60" s="20" t="str">
        <f t="shared" ca="1" si="23"/>
        <v/>
      </c>
      <c r="AX60" s="21" t="s">
        <v>210</v>
      </c>
    </row>
    <row r="62" spans="1:50" ht="34" customHeight="1" x14ac:dyDescent="0.2">
      <c r="C62" s="39" t="s">
        <v>211</v>
      </c>
      <c r="N62" s="40" t="s">
        <v>212</v>
      </c>
      <c r="AD62" s="40" t="s">
        <v>213</v>
      </c>
      <c r="AJ62" s="40" t="s">
        <v>214</v>
      </c>
      <c r="AL62" s="40" t="s">
        <v>215</v>
      </c>
      <c r="AM62" s="40" t="s">
        <v>216</v>
      </c>
      <c r="AO62" s="40" t="s">
        <v>217</v>
      </c>
      <c r="AQ62" s="40" t="s">
        <v>218</v>
      </c>
      <c r="AW62" s="40" t="s">
        <v>219</v>
      </c>
    </row>
    <row r="63" spans="1:50" x14ac:dyDescent="0.2">
      <c r="C63" s="41" t="s">
        <v>220</v>
      </c>
      <c r="N63" s="42" t="s">
        <v>221</v>
      </c>
      <c r="P63" s="42" t="s">
        <v>222</v>
      </c>
      <c r="U63" s="42" t="s">
        <v>223</v>
      </c>
      <c r="X63" s="42" t="s">
        <v>224</v>
      </c>
      <c r="Z63" s="42" t="s">
        <v>225</v>
      </c>
      <c r="AC63" s="42" t="s">
        <v>226</v>
      </c>
      <c r="AH63" s="42" t="s">
        <v>227</v>
      </c>
      <c r="AJ63" s="42" t="s">
        <v>228</v>
      </c>
      <c r="AM63" s="42" t="s">
        <v>229</v>
      </c>
      <c r="AO63" s="42" t="s">
        <v>230</v>
      </c>
      <c r="AW63" s="42" t="s">
        <v>231</v>
      </c>
    </row>
    <row r="64" spans="1:50" x14ac:dyDescent="0.2">
      <c r="C64" s="43" t="s">
        <v>232</v>
      </c>
    </row>
    <row r="65" spans="3:49" hidden="1" x14ac:dyDescent="0.2">
      <c r="C65" t="s">
        <v>233</v>
      </c>
      <c r="N65">
        <f>IF(COUNTIF(Holidays!$A$2:$A$40,N$4)&gt;0,1,0)</f>
        <v>0</v>
      </c>
      <c r="O65">
        <f>IF(COUNTIF(Holidays!$A$2:$A$40,O$4)&gt;0,1,0)</f>
        <v>0</v>
      </c>
      <c r="P65">
        <f>IF(COUNTIF(Holidays!$A$2:$A$40,P$4)&gt;0,1,0)</f>
        <v>0</v>
      </c>
      <c r="Q65">
        <f>IF(COUNTIF(Holidays!$A$2:$A$40,Q$4)&gt;0,1,0)</f>
        <v>0</v>
      </c>
      <c r="R65">
        <f>IF(COUNTIF(Holidays!$A$2:$A$40,R$4)&gt;0,1,0)</f>
        <v>0</v>
      </c>
      <c r="S65">
        <f>IF(COUNTIF(Holidays!$A$2:$A$40,S$4)&gt;0,1,0)</f>
        <v>1</v>
      </c>
      <c r="T65">
        <f>IF(COUNTIF(Holidays!$A$2:$A$40,T$4)&gt;0,1,0)</f>
        <v>0</v>
      </c>
      <c r="U65">
        <f>IF(COUNTIF(Holidays!$A$2:$A$40,U$4)&gt;0,1,0)</f>
        <v>0</v>
      </c>
      <c r="V65">
        <f>IF(COUNTIF(Holidays!$A$2:$A$40,V$4)&gt;0,1,0)</f>
        <v>0</v>
      </c>
      <c r="W65">
        <f>IF(COUNTIF(Holidays!$A$2:$A$40,W$4)&gt;0,1,0)</f>
        <v>0</v>
      </c>
      <c r="X65">
        <f>IF(COUNTIF(Holidays!$A$2:$A$40,X$4)&gt;0,1,0)</f>
        <v>0</v>
      </c>
      <c r="Y65">
        <f>IF(COUNTIF(Holidays!$A$2:$A$40,Y$4)&gt;0,1,0)</f>
        <v>0</v>
      </c>
      <c r="Z65">
        <f>IF(COUNTIF(Holidays!$A$2:$A$40,Z$4)&gt;0,1,0)</f>
        <v>0</v>
      </c>
      <c r="AA65">
        <f>IF(COUNTIF(Holidays!$A$2:$A$40,AA$4)&gt;0,1,0)</f>
        <v>0</v>
      </c>
      <c r="AB65">
        <f>IF(COUNTIF(Holidays!$A$2:$A$40,AB$4)&gt;0,1,0)</f>
        <v>0</v>
      </c>
      <c r="AC65">
        <f>IF(COUNTIF(Holidays!$A$2:$A$40,AC$4)&gt;0,1,0)</f>
        <v>0</v>
      </c>
      <c r="AD65">
        <f>IF(COUNTIF(Holidays!$A$2:$A$40,AD$4)&gt;0,1,0)</f>
        <v>0</v>
      </c>
      <c r="AE65">
        <f>IF(COUNTIF(Holidays!$A$2:$A$40,AE$4)&gt;0,1,0)</f>
        <v>1</v>
      </c>
      <c r="AF65">
        <f>IF(COUNTIF(Holidays!$A$2:$A$40,AF$4)&gt;0,1,0)</f>
        <v>0</v>
      </c>
      <c r="AG65">
        <f>IF(COUNTIF(Holidays!$A$2:$A$40,AG$4)&gt;0,1,0)</f>
        <v>0</v>
      </c>
      <c r="AH65">
        <f>IF(COUNTIF(Holidays!$A$2:$A$40,AH$4)&gt;0,1,0)</f>
        <v>0</v>
      </c>
      <c r="AI65">
        <f>IF(COUNTIF(Holidays!$A$2:$A$40,AI$4)&gt;0,1,0)</f>
        <v>0</v>
      </c>
      <c r="AJ65">
        <f>IF(COUNTIF(Holidays!$A$2:$A$40,AJ$4)&gt;0,1,0)</f>
        <v>0</v>
      </c>
      <c r="AK65">
        <f>IF(COUNTIF(Holidays!$A$2:$A$40,AK$4)&gt;0,1,0)</f>
        <v>0</v>
      </c>
      <c r="AL65">
        <f>IF(COUNTIF(Holidays!$A$2:$A$40,AL$4)&gt;0,1,0)</f>
        <v>0</v>
      </c>
      <c r="AM65">
        <f>IF(COUNTIF(Holidays!$A$2:$A$40,AM$4)&gt;0,1,0)</f>
        <v>0</v>
      </c>
      <c r="AN65">
        <f>IF(COUNTIF(Holidays!$A$2:$A$40,AN$4)&gt;0,1,0)</f>
        <v>0</v>
      </c>
      <c r="AO65">
        <f>IF(COUNTIF(Holidays!$A$2:$A$40,AO$4)&gt;0,1,0)</f>
        <v>0</v>
      </c>
      <c r="AP65">
        <f>IF(COUNTIF(Holidays!$A$2:$A$40,AP$4)&gt;0,1,0)</f>
        <v>0</v>
      </c>
      <c r="AQ65">
        <f>IF(COUNTIF(Holidays!$A$2:$A$40,AQ$4)&gt;0,1,0)</f>
        <v>0</v>
      </c>
      <c r="AR65">
        <f>IF(COUNTIF(Holidays!$A$2:$A$40,AR$4)&gt;0,1,0)</f>
        <v>0</v>
      </c>
      <c r="AS65">
        <f>IF(COUNTIF(Holidays!$A$2:$A$40,AS$4)&gt;0,1,0)</f>
        <v>0</v>
      </c>
      <c r="AT65">
        <f>IF(COUNTIF(Holidays!$A$2:$A$40,AT$4)&gt;0,1,0)</f>
        <v>0</v>
      </c>
      <c r="AU65">
        <f>IF(COUNTIF(Holidays!$A$2:$A$40,AU$4)&gt;0,1,0)</f>
        <v>0</v>
      </c>
      <c r="AV65">
        <f>IF(COUNTIF(Holidays!$A$2:$A$40,AV$4)&gt;0,1,0)</f>
        <v>0</v>
      </c>
      <c r="AW65">
        <f>IF(COUNTIF(Holidays!$A$2:$A$40,AW$4)&gt;0,1,0)</f>
        <v>0</v>
      </c>
    </row>
  </sheetData>
  <autoFilter ref="A4:M60" xr:uid="{00000000-0009-0000-0000-000001000000}"/>
  <mergeCells count="8">
    <mergeCell ref="AO3:AS3"/>
    <mergeCell ref="U3:Y3"/>
    <mergeCell ref="AT3:AW3"/>
    <mergeCell ref="AJ3:AN3"/>
    <mergeCell ref="Z3:AD3"/>
    <mergeCell ref="N3:O3"/>
    <mergeCell ref="P3:T3"/>
    <mergeCell ref="AE3:AI3"/>
  </mergeCells>
  <conditionalFormatting sqref="L5:L60">
    <cfRule type="expression" dxfId="43" priority="41">
      <formula>$L5="Canceled"</formula>
    </cfRule>
    <cfRule type="expression" dxfId="42" priority="40">
      <formula>$L5="Incident"</formula>
    </cfRule>
    <cfRule type="expression" dxfId="41" priority="39">
      <formula>$L5="In progress"</formula>
    </cfRule>
    <cfRule type="expression" dxfId="40" priority="38">
      <formula>$L5="Completed"</formula>
    </cfRule>
  </conditionalFormatting>
  <conditionalFormatting sqref="N4:AW4">
    <cfRule type="expression" dxfId="39" priority="37">
      <formula>N4=TODAY()</formula>
    </cfRule>
  </conditionalFormatting>
  <conditionalFormatting sqref="N5:AW60">
    <cfRule type="expression" dxfId="38" priority="21" stopIfTrue="1">
      <formula>AND($A5&lt;&gt;$B5,$B5="WP4",$D5="Ettore",AND(N$4&gt;=$H5,N$4&lt;=$I5))</formula>
    </cfRule>
    <cfRule type="expression" dxfId="37" priority="1" stopIfTrue="1">
      <formula>N$65=1</formula>
    </cfRule>
    <cfRule type="expression" dxfId="36" priority="8" stopIfTrue="1">
      <formula>AND($A5&lt;&gt;$B5,$B5="WP1",$D5="Aarón",AND(N$4&gt;=$H5,N$4&lt;=$I5))</formula>
    </cfRule>
    <cfRule type="expression" dxfId="35" priority="9" stopIfTrue="1">
      <formula>AND($A5&lt;&gt;$B5,$B5="WP2",$D5="Aarón",AND(N$4&gt;=$H5,N$4&lt;=$I5))</formula>
    </cfRule>
    <cfRule type="expression" dxfId="34" priority="10" stopIfTrue="1">
      <formula>AND($A5&lt;&gt;$B5,$B5="WP3",$D5="Aarón",AND(N$4&gt;=$H5,N$4&lt;=$I5))</formula>
    </cfRule>
    <cfRule type="expression" dxfId="33" priority="11" stopIfTrue="1">
      <formula>AND($A5&lt;&gt;$B5,$B5="WP4",$D5="Aarón",AND(N$4&gt;=$H5,N$4&lt;=$I5))</formula>
    </cfRule>
    <cfRule type="expression" dxfId="32" priority="12" stopIfTrue="1">
      <formula>AND($A5&lt;&gt;$B5,$B5="P0",$D5="Bruno",AND(N$4&gt;=$H5,N$4&lt;=$I5))</formula>
    </cfRule>
    <cfRule type="expression" dxfId="31" priority="13" stopIfTrue="1">
      <formula>AND($A5&lt;&gt;$B5,$B5="WP1",$D5="Bruno",AND(N$4&gt;=$H5,N$4&lt;=$I5))</formula>
    </cfRule>
    <cfRule type="expression" dxfId="30" priority="14" stopIfTrue="1">
      <formula>AND($A5&lt;&gt;$B5,$B5="WP2",$D5="Bruno",AND(N$4&gt;=$H5,N$4&lt;=$I5))</formula>
    </cfRule>
    <cfRule type="expression" dxfId="29" priority="15" stopIfTrue="1">
      <formula>AND($A5&lt;&gt;$B5,$B5="WP3",$D5="Bruno",AND(N$4&gt;=$H5,N$4&lt;=$I5))</formula>
    </cfRule>
    <cfRule type="expression" dxfId="28" priority="16" stopIfTrue="1">
      <formula>AND($A5&lt;&gt;$B5,$B5="WP4",$D5="Bruno",AND(N$4&gt;=$H5,N$4&lt;=$I5))</formula>
    </cfRule>
    <cfRule type="expression" dxfId="27" priority="17" stopIfTrue="1">
      <formula>AND($A5&lt;&gt;$B5,$B5="P0",$D5="Ettore",AND(N$4&gt;=$H5,N$4&lt;=$I5))</formula>
    </cfRule>
    <cfRule type="expression" dxfId="26" priority="18" stopIfTrue="1">
      <formula>AND($A5&lt;&gt;$B5,$B5="WP1",$D5="Ettore",AND(N$4&gt;=$H5,N$4&lt;=$I5))</formula>
    </cfRule>
    <cfRule type="expression" dxfId="25" priority="19" stopIfTrue="1">
      <formula>AND($A5&lt;&gt;$B5,$B5="WP2",$D5="Ettore",AND(N$4&gt;=$H5,N$4&lt;=$I5))</formula>
    </cfRule>
    <cfRule type="expression" dxfId="24" priority="20" stopIfTrue="1">
      <formula>AND($A5&lt;&gt;$B5,$B5="WP3",$D5="Ettore",AND(N$4&gt;=$H5,N$4&lt;=$I5))</formula>
    </cfRule>
    <cfRule type="expression" dxfId="23" priority="6">
      <formula>AND($A5=$B5,$B5="WP4",AND(N$4&gt;=$H5,N$4&lt;=$I5))</formula>
    </cfRule>
    <cfRule type="expression" dxfId="22" priority="22" stopIfTrue="1">
      <formula>AND($A5&lt;&gt;$B5,$B5="P0",$D5="Leo",AND(N$4&gt;=$H5,N$4&lt;=$I5))</formula>
    </cfRule>
    <cfRule type="expression" dxfId="21" priority="23" stopIfTrue="1">
      <formula>AND($A5&lt;&gt;$B5,$B5="WP1",$D5="Leo",AND(N$4&gt;=$H5,N$4&lt;=$I5))</formula>
    </cfRule>
    <cfRule type="expression" dxfId="20" priority="24" stopIfTrue="1">
      <formula>AND($A5&lt;&gt;$B5,$B5="WP2",$D5="Leo",AND(N$4&gt;=$H5,N$4&lt;=$I5))</formula>
    </cfRule>
    <cfRule type="expression" dxfId="19" priority="25" stopIfTrue="1">
      <formula>AND($A5&lt;&gt;$B5,$B5="WP3",$D5="Leo",AND(N$4&gt;=$H5,N$4&lt;=$I5))</formula>
    </cfRule>
    <cfRule type="expression" dxfId="18" priority="26" stopIfTrue="1">
      <formula>AND($A5&lt;&gt;$B5,$B5="WP4",$D5="Leo",AND(N$4&gt;=$H5,N$4&lt;=$I5))</formula>
    </cfRule>
    <cfRule type="expression" dxfId="17" priority="27" stopIfTrue="1">
      <formula>AND($A5&lt;&gt;$B5,$B5="P0",$D5="Pol",AND(N$4&gt;=$H5,N$4&lt;=$I5))</formula>
    </cfRule>
    <cfRule type="expression" dxfId="16" priority="28" stopIfTrue="1">
      <formula>AND($A5&lt;&gt;$B5,$B5="WP1",$D5="Pol",AND(N$4&gt;=$H5,N$4&lt;=$I5))</formula>
    </cfRule>
    <cfRule type="expression" dxfId="15" priority="29" stopIfTrue="1">
      <formula>AND($A5&lt;&gt;$B5,$B5="WP2",$D5="Pol",AND(N$4&gt;=$H5,N$4&lt;=$I5))</formula>
    </cfRule>
    <cfRule type="expression" dxfId="14" priority="30" stopIfTrue="1">
      <formula>AND($A5&lt;&gt;$B5,$B5="WP3",$D5="Pol",AND(N$4&gt;=$H5,N$4&lt;=$I5))</formula>
    </cfRule>
    <cfRule type="expression" dxfId="13" priority="31" stopIfTrue="1">
      <formula>AND($A5&lt;&gt;$B5,$B5="WP4",$D5="Pol",AND(N$4&gt;=$H5,N$4&lt;=$I5))</formula>
    </cfRule>
    <cfRule type="expression" dxfId="12" priority="32" stopIfTrue="1">
      <formula>AND($A5&lt;&gt;$B5,$B5="P0",$D5="All",AND(N$4&gt;=$H5,N$4&lt;=$I5))</formula>
    </cfRule>
    <cfRule type="expression" dxfId="11" priority="33" stopIfTrue="1">
      <formula>AND($A5&lt;&gt;$B5,$B5="WP1",$D5="All",AND(N$4&gt;=$H5,N$4&lt;=$I5))</formula>
    </cfRule>
    <cfRule type="expression" dxfId="10" priority="34" stopIfTrue="1">
      <formula>AND($A5&lt;&gt;$B5,$B5="WP2",$D5="All",AND(N$4&gt;=$H5,N$4&lt;=$I5))</formula>
    </cfRule>
    <cfRule type="expression" dxfId="9" priority="35" stopIfTrue="1">
      <formula>AND($A5&lt;&gt;$B5,$B5="WP3",$D5="All",AND(N$4&gt;=$H5,N$4&lt;=$I5))</formula>
    </cfRule>
    <cfRule type="expression" dxfId="8" priority="36" stopIfTrue="1">
      <formula>AND($A5&lt;&gt;$B5,$B5="WP4",$D5="All",AND(N$4&gt;=$H5,N$4&lt;=$I5))</formula>
    </cfRule>
    <cfRule type="expression" dxfId="7" priority="5">
      <formula>AND($A5=$B5,$B5="WP3",AND(N$4&gt;=$H5,N$4&lt;=$I5))</formula>
    </cfRule>
    <cfRule type="expression" dxfId="6" priority="4">
      <formula>AND($A5=$B5,$B5="WP2",AND(N$4&gt;=$H5,N$4&lt;=$I5))</formula>
    </cfRule>
    <cfRule type="expression" dxfId="5" priority="3">
      <formula>AND($A5=$B5,$B5="WP1",AND(N$4&gt;=$H5,N$4&lt;=$I5))</formula>
    </cfRule>
    <cfRule type="expression" dxfId="4" priority="2">
      <formula>AND($A5=$B5,$B5="P0",AND(N$4&gt;=$H5,N$4&lt;=$I5))</formula>
    </cfRule>
    <cfRule type="expression" dxfId="3" priority="7" stopIfTrue="1">
      <formula>AND($A5&lt;&gt;$B5,$B5="P0",$D5="Aarón",AND(N$4&gt;=$H5,N$4&lt;=$I5))</formula>
    </cfRule>
  </conditionalFormatting>
  <dataValidations count="2">
    <dataValidation type="list" allowBlank="1" sqref="L5:L60" xr:uid="{00000000-0002-0000-0100-000000000000}">
      <formula1>"Backlog,Pending,In progress,Completed,Incident,Canceled"</formula1>
    </dataValidation>
    <dataValidation type="list" sqref="D5:D60" xr:uid="{00000000-0002-0000-0100-000001000000}">
      <formula1>"Aarón,Bruno,Ettore,Leo,Pol,All"</formula1>
    </dataValidation>
  </dataValidations>
  <pageMargins left="0.75" right="0.75" top="1" bottom="1" header="0.5" footer="0.5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5" x14ac:dyDescent="0.2"/>
  <cols>
    <col min="1" max="1" width="10" customWidth="1"/>
    <col min="2" max="2" width="26" customWidth="1"/>
    <col min="3" max="3" width="24" customWidth="1"/>
    <col min="4" max="4" width="12" customWidth="1"/>
    <col min="5" max="5" width="14" customWidth="1"/>
    <col min="6" max="7" width="11" customWidth="1"/>
    <col min="8" max="8" width="10" customWidth="1"/>
  </cols>
  <sheetData>
    <row r="1" spans="1:8" ht="16" x14ac:dyDescent="0.2">
      <c r="A1" s="44" t="s">
        <v>234</v>
      </c>
    </row>
    <row r="3" spans="1:8" ht="28" x14ac:dyDescent="0.2">
      <c r="A3" s="9" t="s">
        <v>24</v>
      </c>
      <c r="B3" s="9" t="s">
        <v>235</v>
      </c>
      <c r="C3" s="9" t="s">
        <v>236</v>
      </c>
      <c r="D3" s="9" t="s">
        <v>237</v>
      </c>
      <c r="E3" s="9" t="s">
        <v>238</v>
      </c>
      <c r="F3" s="9" t="s">
        <v>40</v>
      </c>
      <c r="G3" s="9" t="s">
        <v>239</v>
      </c>
      <c r="H3" s="9" t="s">
        <v>240</v>
      </c>
    </row>
    <row r="4" spans="1:8" x14ac:dyDescent="0.2">
      <c r="A4" s="45" t="s">
        <v>53</v>
      </c>
      <c r="B4" s="46" t="s">
        <v>241</v>
      </c>
      <c r="C4" s="46" t="s">
        <v>242</v>
      </c>
      <c r="D4" s="46">
        <f>COUNTIFS(Tasks!$D$5:$D$60,A4,Tasks!$B$5:$B$60,"&lt;&gt;P0",Tasks!$A$5:$A$60,"&lt;&gt;WP*")</f>
        <v>8</v>
      </c>
      <c r="E4" s="46">
        <f>SUMIFS(Tasks!$F$5:$F$60,Tasks!$D$5:$D$60,A4,Tasks!$B$5:$B$60,"&lt;&gt;P0")</f>
        <v>11</v>
      </c>
      <c r="F4" s="46">
        <f>COUNTIFS(Tasks!$D$5:$D$60,A4,Tasks!$L$5:$L$60,"Completed",Tasks!$B$5:$B$60,"&lt;&gt;P0")</f>
        <v>0</v>
      </c>
      <c r="G4" s="46">
        <f>COUNTIFS(Tasks!$D$5:$D$60,A4,Tasks!$L$5:$L$60,"In progress")</f>
        <v>0</v>
      </c>
      <c r="H4" s="46">
        <f>COUNTIFS(Tasks!$D$5:$D$60,A4,Tasks!$L$5:$L$60,"Incident")</f>
        <v>0</v>
      </c>
    </row>
    <row r="5" spans="1:8" x14ac:dyDescent="0.2">
      <c r="A5" s="47" t="s">
        <v>82</v>
      </c>
      <c r="B5" s="46" t="s">
        <v>243</v>
      </c>
      <c r="C5" s="46" t="s">
        <v>244</v>
      </c>
      <c r="D5" s="46">
        <f>COUNTIFS(Tasks!$D$5:$D$60,A5,Tasks!$B$5:$B$60,"&lt;&gt;P0",Tasks!$A$5:$A$60,"&lt;&gt;WP*")</f>
        <v>10</v>
      </c>
      <c r="E5" s="46">
        <f>SUMIFS(Tasks!$F$5:$F$60,Tasks!$D$5:$D$60,A5,Tasks!$B$5:$B$60,"&lt;&gt;P0")</f>
        <v>12</v>
      </c>
      <c r="F5" s="46">
        <f>COUNTIFS(Tasks!$D$5:$D$60,A5,Tasks!$L$5:$L$60,"Completed",Tasks!$B$5:$B$60,"&lt;&gt;P0")</f>
        <v>0</v>
      </c>
      <c r="G5" s="46">
        <f>COUNTIFS(Tasks!$D$5:$D$60,A5,Tasks!$L$5:$L$60,"In progress")</f>
        <v>0</v>
      </c>
      <c r="H5" s="46">
        <f>COUNTIFS(Tasks!$D$5:$D$60,A5,Tasks!$L$5:$L$60,"Incident")</f>
        <v>0</v>
      </c>
    </row>
    <row r="6" spans="1:8" x14ac:dyDescent="0.2">
      <c r="A6" s="48" t="s">
        <v>44</v>
      </c>
      <c r="B6" s="46" t="s">
        <v>245</v>
      </c>
      <c r="C6" s="46" t="s">
        <v>246</v>
      </c>
      <c r="D6" s="46">
        <f>COUNTIFS(Tasks!$D$5:$D$60,A6,Tasks!$B$5:$B$60,"&lt;&gt;P0",Tasks!$A$5:$A$60,"&lt;&gt;WP*")</f>
        <v>9</v>
      </c>
      <c r="E6" s="46">
        <f>SUMIFS(Tasks!$F$5:$F$60,Tasks!$D$5:$D$60,A6,Tasks!$B$5:$B$60,"&lt;&gt;P0")</f>
        <v>11</v>
      </c>
      <c r="F6" s="46">
        <f>COUNTIFS(Tasks!$D$5:$D$60,A6,Tasks!$L$5:$L$60,"Completed",Tasks!$B$5:$B$60,"&lt;&gt;P0")</f>
        <v>0</v>
      </c>
      <c r="G6" s="46">
        <f>COUNTIFS(Tasks!$D$5:$D$60,A6,Tasks!$L$5:$L$60,"In progress")</f>
        <v>0</v>
      </c>
      <c r="H6" s="46">
        <f>COUNTIFS(Tasks!$D$5:$D$60,A6,Tasks!$L$5:$L$60,"Incident")</f>
        <v>0</v>
      </c>
    </row>
    <row r="7" spans="1:8" x14ac:dyDescent="0.2">
      <c r="A7" s="49" t="s">
        <v>39</v>
      </c>
      <c r="B7" s="46" t="s">
        <v>247</v>
      </c>
      <c r="C7" s="46" t="s">
        <v>248</v>
      </c>
      <c r="D7" s="46">
        <f>COUNTIFS(Tasks!$D$5:$D$60,A7,Tasks!$B$5:$B$60,"&lt;&gt;P0",Tasks!$A$5:$A$60,"&lt;&gt;WP*")</f>
        <v>8</v>
      </c>
      <c r="E7" s="46">
        <f>SUMIFS(Tasks!$F$5:$F$60,Tasks!$D$5:$D$60,A7,Tasks!$B$5:$B$60,"&lt;&gt;P0")</f>
        <v>11</v>
      </c>
      <c r="F7" s="46">
        <f>COUNTIFS(Tasks!$D$5:$D$60,A7,Tasks!$L$5:$L$60,"Completed",Tasks!$B$5:$B$60,"&lt;&gt;P0")</f>
        <v>0</v>
      </c>
      <c r="G7" s="46">
        <f>COUNTIFS(Tasks!$D$5:$D$60,A7,Tasks!$L$5:$L$60,"In progress")</f>
        <v>0</v>
      </c>
      <c r="H7" s="46">
        <f>COUNTIFS(Tasks!$D$5:$D$60,A7,Tasks!$L$5:$L$60,"Incident")</f>
        <v>0</v>
      </c>
    </row>
    <row r="8" spans="1:8" x14ac:dyDescent="0.2">
      <c r="A8" s="50" t="s">
        <v>78</v>
      </c>
      <c r="B8" s="46" t="s">
        <v>249</v>
      </c>
      <c r="C8" s="46" t="s">
        <v>250</v>
      </c>
      <c r="D8" s="46">
        <f>COUNTIFS(Tasks!$D$5:$D$60,A8,Tasks!$B$5:$B$60,"&lt;&gt;P0",Tasks!$A$5:$A$60,"&lt;&gt;WP*")</f>
        <v>7</v>
      </c>
      <c r="E8" s="46">
        <f>SUMIFS(Tasks!$F$5:$F$60,Tasks!$D$5:$D$60,A8,Tasks!$B$5:$B$60,"&lt;&gt;P0")</f>
        <v>10</v>
      </c>
      <c r="F8" s="46">
        <f>COUNTIFS(Tasks!$D$5:$D$60,A8,Tasks!$L$5:$L$60,"Completed",Tasks!$B$5:$B$60,"&lt;&gt;P0")</f>
        <v>0</v>
      </c>
      <c r="G8" s="46">
        <f>COUNTIFS(Tasks!$D$5:$D$60,A8,Tasks!$L$5:$L$60,"In progress")</f>
        <v>0</v>
      </c>
      <c r="H8" s="46">
        <f>COUNTIFS(Tasks!$D$5:$D$60,A8,Tasks!$L$5:$L$60,"Incident")</f>
        <v>0</v>
      </c>
    </row>
    <row r="9" spans="1:8" x14ac:dyDescent="0.2">
      <c r="A9" s="51" t="s">
        <v>251</v>
      </c>
      <c r="D9" s="51">
        <f>SUM(D4:D8)</f>
        <v>42</v>
      </c>
      <c r="E9" s="51">
        <f>SUM(E4:E8)</f>
        <v>55</v>
      </c>
      <c r="F9" s="51">
        <f>SUM(F4:F8)</f>
        <v>0</v>
      </c>
      <c r="G9" s="51">
        <f>SUM(G4:G8)</f>
        <v>0</v>
      </c>
      <c r="H9" s="51">
        <f>SUM(H4:H8)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baseColWidth="10" defaultColWidth="8.83203125" defaultRowHeight="15" x14ac:dyDescent="0.2"/>
  <cols>
    <col min="1" max="1" width="6" customWidth="1"/>
    <col min="2" max="2" width="52" customWidth="1"/>
    <col min="3" max="4" width="18" customWidth="1"/>
    <col min="5" max="5" width="12" customWidth="1"/>
    <col min="6" max="6" width="30" customWidth="1"/>
    <col min="7" max="7" width="12" customWidth="1"/>
  </cols>
  <sheetData>
    <row r="1" spans="1:7" ht="42" x14ac:dyDescent="0.2">
      <c r="A1" s="9" t="s">
        <v>21</v>
      </c>
      <c r="B1" s="9" t="s">
        <v>252</v>
      </c>
      <c r="C1" s="9" t="s">
        <v>253</v>
      </c>
      <c r="D1" s="9" t="s">
        <v>254</v>
      </c>
      <c r="E1" s="9" t="s">
        <v>32</v>
      </c>
      <c r="F1" s="9" t="s">
        <v>255</v>
      </c>
      <c r="G1" s="9" t="s">
        <v>33</v>
      </c>
    </row>
    <row r="2" spans="1:7" x14ac:dyDescent="0.2">
      <c r="A2" s="46" t="s">
        <v>256</v>
      </c>
      <c r="B2" s="46" t="s">
        <v>257</v>
      </c>
      <c r="C2" s="52">
        <v>46282</v>
      </c>
      <c r="D2" s="53">
        <v>46282</v>
      </c>
      <c r="E2" s="54" t="s">
        <v>40</v>
      </c>
      <c r="F2" s="46" t="s">
        <v>258</v>
      </c>
      <c r="G2" s="46">
        <f>IF(D2="","",IF(D2&gt;=C2,NETWORKDAYS(C2,D2,Holidays!$A$2:$A$40)-1,-(NETWORKDAYS(D2,C2,Holidays!$A$2:$A$40)-1)))</f>
        <v>0</v>
      </c>
    </row>
    <row r="3" spans="1:7" x14ac:dyDescent="0.2">
      <c r="A3" s="46" t="s">
        <v>259</v>
      </c>
      <c r="B3" s="46" t="s">
        <v>260</v>
      </c>
      <c r="C3" s="52">
        <v>46304</v>
      </c>
      <c r="D3" s="53"/>
      <c r="E3" s="54" t="s">
        <v>68</v>
      </c>
      <c r="F3" s="46" t="s">
        <v>261</v>
      </c>
      <c r="G3" s="46" t="str">
        <f>IF(D3="","",IF(D3&gt;=C3,NETWORKDAYS(C3,D3,Holidays!$A$2:$A$40)-1,-(NETWORKDAYS(D3,C3,Holidays!$A$2:$A$40)-1)))</f>
        <v/>
      </c>
    </row>
    <row r="4" spans="1:7" x14ac:dyDescent="0.2">
      <c r="A4" s="46" t="s">
        <v>262</v>
      </c>
      <c r="B4" s="46" t="s">
        <v>263</v>
      </c>
      <c r="C4" s="52">
        <v>46314</v>
      </c>
      <c r="D4" s="53"/>
      <c r="E4" s="54" t="s">
        <v>68</v>
      </c>
      <c r="F4" s="46" t="s">
        <v>264</v>
      </c>
      <c r="G4" s="46" t="str">
        <f>IF(D4="","",IF(D4&gt;=C4,NETWORKDAYS(C4,D4,Holidays!$A$2:$A$40)-1,-(NETWORKDAYS(D4,C4,Holidays!$A$2:$A$40)-1)))</f>
        <v/>
      </c>
    </row>
    <row r="5" spans="1:7" x14ac:dyDescent="0.2">
      <c r="A5" s="46" t="s">
        <v>265</v>
      </c>
      <c r="B5" s="46" t="s">
        <v>266</v>
      </c>
      <c r="C5" s="52">
        <v>46316</v>
      </c>
      <c r="D5" s="53"/>
      <c r="E5" s="54" t="s">
        <v>68</v>
      </c>
      <c r="F5" s="46" t="s">
        <v>267</v>
      </c>
      <c r="G5" s="46" t="str">
        <f>IF(D5="","",IF(D5&gt;=C5,NETWORKDAYS(C5,D5,Holidays!$A$2:$A$40)-1,-(NETWORKDAYS(D5,C5,Holidays!$A$2:$A$40)-1)))</f>
        <v/>
      </c>
    </row>
    <row r="6" spans="1:7" x14ac:dyDescent="0.2">
      <c r="A6" s="46" t="s">
        <v>268</v>
      </c>
      <c r="B6" s="46" t="s">
        <v>269</v>
      </c>
      <c r="C6" s="52">
        <v>46317</v>
      </c>
      <c r="D6" s="53"/>
      <c r="E6" s="54" t="s">
        <v>68</v>
      </c>
      <c r="F6" s="46" t="s">
        <v>270</v>
      </c>
      <c r="G6" s="46" t="str">
        <f>IF(D6="","",IF(D6&gt;=C6,NETWORKDAYS(C6,D6,Holidays!$A$2:$A$40)-1,-(NETWORKDAYS(D6,C6,Holidays!$A$2:$A$40)-1)))</f>
        <v/>
      </c>
    </row>
    <row r="7" spans="1:7" x14ac:dyDescent="0.2">
      <c r="A7" s="46" t="s">
        <v>271</v>
      </c>
      <c r="B7" s="46" t="s">
        <v>272</v>
      </c>
      <c r="C7" s="52">
        <v>46321</v>
      </c>
      <c r="D7" s="53"/>
      <c r="E7" s="54" t="s">
        <v>68</v>
      </c>
      <c r="F7" s="46" t="s">
        <v>273</v>
      </c>
      <c r="G7" s="46" t="str">
        <f>IF(D7="","",IF(D7&gt;=C7,NETWORKDAYS(C7,D7,Holidays!$A$2:$A$40)-1,-(NETWORKDAYS(D7,C7,Holidays!$A$2:$A$40)-1)))</f>
        <v/>
      </c>
    </row>
    <row r="8" spans="1:7" x14ac:dyDescent="0.2">
      <c r="A8" s="46" t="s">
        <v>274</v>
      </c>
      <c r="B8" s="46" t="s">
        <v>275</v>
      </c>
      <c r="C8" s="52">
        <v>46323</v>
      </c>
      <c r="D8" s="53"/>
      <c r="E8" s="54" t="s">
        <v>68</v>
      </c>
      <c r="F8" s="46" t="s">
        <v>261</v>
      </c>
      <c r="G8" s="46" t="str">
        <f>IF(D8="","",IF(D8&gt;=C8,NETWORKDAYS(C8,D8,Holidays!$A$2:$A$40)-1,-(NETWORKDAYS(D8,C8,Holidays!$A$2:$A$40)-1)))</f>
        <v/>
      </c>
    </row>
    <row r="9" spans="1:7" x14ac:dyDescent="0.2">
      <c r="A9" s="46" t="s">
        <v>276</v>
      </c>
      <c r="B9" s="46" t="s">
        <v>277</v>
      </c>
      <c r="C9" s="52">
        <v>46331</v>
      </c>
      <c r="D9" s="53"/>
      <c r="E9" s="54" t="s">
        <v>68</v>
      </c>
      <c r="F9" s="46" t="s">
        <v>278</v>
      </c>
      <c r="G9" s="46" t="str">
        <f>IF(D9="","",IF(D9&gt;=C9,NETWORKDAYS(C9,D9,Holidays!$A$2:$A$40)-1,-(NETWORKDAYS(D9,C9,Holidays!$A$2:$A$40)-1)))</f>
        <v/>
      </c>
    </row>
  </sheetData>
  <dataValidations count="1">
    <dataValidation type="list" sqref="E2:E9" xr:uid="{00000000-0002-0000-0300-000000000000}">
      <formula1>"Backlog,Pending,In progress,Completed,Incident,Canceled"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10" customWidth="1"/>
    <col min="4" max="4" width="9" customWidth="1"/>
    <col min="5" max="5" width="7" customWidth="1"/>
    <col min="6" max="7" width="9" customWidth="1"/>
    <col min="8" max="8" width="15" customWidth="1"/>
    <col min="9" max="9" width="60" customWidth="1"/>
    <col min="10" max="10" width="12" customWidth="1"/>
    <col min="11" max="11" width="30" customWidth="1"/>
  </cols>
  <sheetData>
    <row r="1" spans="1:11" ht="16" x14ac:dyDescent="0.2">
      <c r="A1" s="44" t="s">
        <v>279</v>
      </c>
    </row>
    <row r="3" spans="1:11" x14ac:dyDescent="0.2">
      <c r="A3" s="9" t="s">
        <v>21</v>
      </c>
      <c r="B3" s="9" t="s">
        <v>280</v>
      </c>
      <c r="C3" s="9" t="s">
        <v>281</v>
      </c>
      <c r="D3" s="9" t="s">
        <v>282</v>
      </c>
      <c r="E3" s="9" t="s">
        <v>283</v>
      </c>
      <c r="F3" s="9" t="s">
        <v>284</v>
      </c>
      <c r="G3" s="9" t="s">
        <v>24</v>
      </c>
      <c r="H3" s="9" t="s">
        <v>32</v>
      </c>
      <c r="I3" s="9" t="s">
        <v>285</v>
      </c>
      <c r="J3" s="9" t="s">
        <v>286</v>
      </c>
      <c r="K3" s="9" t="s">
        <v>287</v>
      </c>
    </row>
    <row r="4" spans="1:11" ht="28" x14ac:dyDescent="0.2">
      <c r="A4" s="55" t="s">
        <v>288</v>
      </c>
      <c r="B4" s="56" t="s">
        <v>289</v>
      </c>
      <c r="C4" s="57">
        <v>3</v>
      </c>
      <c r="D4" s="57">
        <v>3</v>
      </c>
      <c r="E4" s="55">
        <f t="shared" ref="E4:E13" si="0">C4*D4</f>
        <v>9</v>
      </c>
      <c r="F4" s="55" t="str">
        <f t="shared" ref="F4:F13" si="1">IF(E4&gt;=6,"High",IF(E4&gt;=3,"Medium","Low"))</f>
        <v>High</v>
      </c>
      <c r="G4" s="58" t="s">
        <v>44</v>
      </c>
      <c r="H4" s="57" t="s">
        <v>290</v>
      </c>
      <c r="I4" s="56" t="s">
        <v>291</v>
      </c>
      <c r="J4" s="59">
        <v>46303</v>
      </c>
      <c r="K4" s="60"/>
    </row>
    <row r="5" spans="1:11" ht="28" x14ac:dyDescent="0.2">
      <c r="A5" s="55" t="s">
        <v>292</v>
      </c>
      <c r="B5" s="56" t="s">
        <v>293</v>
      </c>
      <c r="C5" s="57">
        <v>3</v>
      </c>
      <c r="D5" s="57">
        <v>3</v>
      </c>
      <c r="E5" s="55">
        <f t="shared" si="0"/>
        <v>9</v>
      </c>
      <c r="F5" s="55" t="str">
        <f t="shared" si="1"/>
        <v>High</v>
      </c>
      <c r="G5" s="61" t="s">
        <v>78</v>
      </c>
      <c r="H5" s="57" t="s">
        <v>290</v>
      </c>
      <c r="I5" s="56" t="s">
        <v>294</v>
      </c>
      <c r="J5" s="59">
        <v>46303</v>
      </c>
      <c r="K5" s="60"/>
    </row>
    <row r="6" spans="1:11" ht="28" x14ac:dyDescent="0.2">
      <c r="A6" s="55" t="s">
        <v>295</v>
      </c>
      <c r="B6" s="56" t="s">
        <v>296</v>
      </c>
      <c r="C6" s="57">
        <v>1</v>
      </c>
      <c r="D6" s="57">
        <v>3</v>
      </c>
      <c r="E6" s="55">
        <f t="shared" si="0"/>
        <v>3</v>
      </c>
      <c r="F6" s="55" t="str">
        <f t="shared" si="1"/>
        <v>Medium</v>
      </c>
      <c r="G6" s="62" t="s">
        <v>82</v>
      </c>
      <c r="H6" s="57" t="s">
        <v>297</v>
      </c>
      <c r="I6" s="56" t="s">
        <v>298</v>
      </c>
      <c r="J6" s="59">
        <v>46303</v>
      </c>
      <c r="K6" s="60"/>
    </row>
    <row r="7" spans="1:11" ht="28" x14ac:dyDescent="0.2">
      <c r="A7" s="55" t="s">
        <v>299</v>
      </c>
      <c r="B7" s="56" t="s">
        <v>300</v>
      </c>
      <c r="C7" s="57">
        <v>2</v>
      </c>
      <c r="D7" s="57">
        <v>2</v>
      </c>
      <c r="E7" s="55">
        <f t="shared" si="0"/>
        <v>4</v>
      </c>
      <c r="F7" s="55" t="str">
        <f t="shared" si="1"/>
        <v>Medium</v>
      </c>
      <c r="G7" s="58" t="s">
        <v>44</v>
      </c>
      <c r="H7" s="57" t="s">
        <v>301</v>
      </c>
      <c r="I7" s="56" t="s">
        <v>302</v>
      </c>
      <c r="J7" s="59">
        <v>46303</v>
      </c>
      <c r="K7" s="60"/>
    </row>
    <row r="8" spans="1:11" ht="28" x14ac:dyDescent="0.2">
      <c r="A8" s="55" t="s">
        <v>303</v>
      </c>
      <c r="B8" s="56" t="s">
        <v>304</v>
      </c>
      <c r="C8" s="57">
        <v>2</v>
      </c>
      <c r="D8" s="57">
        <v>3</v>
      </c>
      <c r="E8" s="55">
        <f t="shared" si="0"/>
        <v>6</v>
      </c>
      <c r="F8" s="55" t="str">
        <f t="shared" si="1"/>
        <v>High</v>
      </c>
      <c r="G8" s="62" t="s">
        <v>82</v>
      </c>
      <c r="H8" s="57" t="s">
        <v>301</v>
      </c>
      <c r="I8" s="56" t="s">
        <v>305</v>
      </c>
      <c r="J8" s="59">
        <v>46303</v>
      </c>
      <c r="K8" s="60"/>
    </row>
    <row r="9" spans="1:11" ht="28" x14ac:dyDescent="0.2">
      <c r="A9" s="55" t="s">
        <v>306</v>
      </c>
      <c r="B9" s="56" t="s">
        <v>307</v>
      </c>
      <c r="C9" s="57">
        <v>2</v>
      </c>
      <c r="D9" s="57">
        <v>2</v>
      </c>
      <c r="E9" s="55">
        <f t="shared" si="0"/>
        <v>4</v>
      </c>
      <c r="F9" s="55" t="str">
        <f t="shared" si="1"/>
        <v>Medium</v>
      </c>
      <c r="G9" s="61" t="s">
        <v>78</v>
      </c>
      <c r="H9" s="57" t="s">
        <v>301</v>
      </c>
      <c r="I9" s="56" t="s">
        <v>308</v>
      </c>
      <c r="J9" s="59">
        <v>46303</v>
      </c>
      <c r="K9" s="60"/>
    </row>
    <row r="10" spans="1:11" ht="28" x14ac:dyDescent="0.2">
      <c r="A10" s="55" t="s">
        <v>309</v>
      </c>
      <c r="B10" s="56" t="s">
        <v>310</v>
      </c>
      <c r="C10" s="57">
        <v>1</v>
      </c>
      <c r="D10" s="57">
        <v>2</v>
      </c>
      <c r="E10" s="55">
        <f t="shared" si="0"/>
        <v>2</v>
      </c>
      <c r="F10" s="55" t="str">
        <f t="shared" si="1"/>
        <v>Low</v>
      </c>
      <c r="G10" s="63" t="s">
        <v>39</v>
      </c>
      <c r="H10" s="57" t="s">
        <v>301</v>
      </c>
      <c r="I10" s="56" t="s">
        <v>311</v>
      </c>
      <c r="J10" s="59">
        <v>46303</v>
      </c>
      <c r="K10" s="60"/>
    </row>
    <row r="11" spans="1:11" ht="28" x14ac:dyDescent="0.2">
      <c r="A11" s="55" t="s">
        <v>312</v>
      </c>
      <c r="B11" s="56" t="s">
        <v>313</v>
      </c>
      <c r="C11" s="57">
        <v>2</v>
      </c>
      <c r="D11" s="57">
        <v>3</v>
      </c>
      <c r="E11" s="55">
        <f t="shared" si="0"/>
        <v>6</v>
      </c>
      <c r="F11" s="55" t="str">
        <f t="shared" si="1"/>
        <v>High</v>
      </c>
      <c r="G11" s="63" t="s">
        <v>39</v>
      </c>
      <c r="H11" s="57" t="s">
        <v>301</v>
      </c>
      <c r="I11" s="56" t="s">
        <v>314</v>
      </c>
      <c r="J11" s="59">
        <v>46303</v>
      </c>
      <c r="K11" s="60"/>
    </row>
    <row r="12" spans="1:11" ht="28" x14ac:dyDescent="0.2">
      <c r="A12" s="55" t="s">
        <v>315</v>
      </c>
      <c r="B12" s="56" t="s">
        <v>316</v>
      </c>
      <c r="C12" s="57">
        <v>2</v>
      </c>
      <c r="D12" s="57">
        <v>2</v>
      </c>
      <c r="E12" s="55">
        <f t="shared" si="0"/>
        <v>4</v>
      </c>
      <c r="F12" s="55" t="str">
        <f t="shared" si="1"/>
        <v>Medium</v>
      </c>
      <c r="G12" s="64" t="s">
        <v>53</v>
      </c>
      <c r="H12" s="57" t="s">
        <v>301</v>
      </c>
      <c r="I12" s="56" t="s">
        <v>317</v>
      </c>
      <c r="J12" s="59">
        <v>46303</v>
      </c>
      <c r="K12" s="60"/>
    </row>
    <row r="13" spans="1:11" ht="28" x14ac:dyDescent="0.2">
      <c r="A13" s="55" t="s">
        <v>318</v>
      </c>
      <c r="B13" s="56" t="s">
        <v>319</v>
      </c>
      <c r="C13" s="57">
        <v>2</v>
      </c>
      <c r="D13" s="57">
        <v>3</v>
      </c>
      <c r="E13" s="55">
        <f t="shared" si="0"/>
        <v>6</v>
      </c>
      <c r="F13" s="55" t="str">
        <f t="shared" si="1"/>
        <v>High</v>
      </c>
      <c r="G13" s="64" t="s">
        <v>53</v>
      </c>
      <c r="H13" s="57" t="s">
        <v>301</v>
      </c>
      <c r="I13" s="56" t="s">
        <v>320</v>
      </c>
      <c r="J13" s="59">
        <v>46303</v>
      </c>
      <c r="K13" s="60"/>
    </row>
  </sheetData>
  <conditionalFormatting sqref="E4:F13">
    <cfRule type="expression" dxfId="2" priority="1">
      <formula>$F4="High"</formula>
    </cfRule>
    <cfRule type="expression" dxfId="1" priority="2">
      <formula>$F4="Medium"</formula>
    </cfRule>
    <cfRule type="expression" dxfId="0" priority="3">
      <formula>$F4="Low"</formula>
    </cfRule>
  </conditionalFormatting>
  <dataValidations count="1">
    <dataValidation type="whole" sqref="C4:D13" xr:uid="{00000000-0002-0000-0400-000000000000}">
      <formula1>1</formula1>
      <formula2>3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</cols>
  <sheetData>
    <row r="1" spans="1:4" x14ac:dyDescent="0.2">
      <c r="A1" s="9" t="s">
        <v>321</v>
      </c>
      <c r="B1" s="9" t="s">
        <v>322</v>
      </c>
    </row>
    <row r="2" spans="1:4" x14ac:dyDescent="0.2">
      <c r="A2" s="65">
        <v>46289</v>
      </c>
      <c r="B2" s="66" t="s">
        <v>323</v>
      </c>
      <c r="D2" s="67" t="s">
        <v>324</v>
      </c>
    </row>
    <row r="3" spans="1:4" x14ac:dyDescent="0.2">
      <c r="A3" s="65">
        <v>46307</v>
      </c>
      <c r="B3" s="66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Read me</vt:lpstr>
      <vt:lpstr>Tasks</vt:lpstr>
      <vt:lpstr>Members</vt:lpstr>
      <vt:lpstr>Milestones</vt:lpstr>
      <vt:lpstr>Risks</vt:lpstr>
      <vt:lpstr>Holidays</vt:lpstr>
      <vt:lpstr>Tasks!Print_Area</vt:lpstr>
      <vt:lpstr>Tasks!Print_Titles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Ettore Colombo</cp:lastModifiedBy>
  <dcterms:created xsi:type="dcterms:W3CDTF">2026-10-08T04:42:41Z</dcterms:created>
  <dcterms:modified xsi:type="dcterms:W3CDTF">2026-10-08T04:42:42Z</dcterms:modified>
</cp:coreProperties>
</file>